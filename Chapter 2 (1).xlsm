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mon\WORK\FM4\FM4 Disk with book\FM4 chapter files\"/>
    </mc:Choice>
  </mc:AlternateContent>
  <bookViews>
    <workbookView xWindow="0" yWindow="0" windowWidth="19200" windowHeight="7188"/>
  </bookViews>
  <sheets>
    <sheet name="Page 55" sheetId="15" r:id="rId1"/>
    <sheet name="Page 56" sheetId="16" r:id="rId2"/>
    <sheet name="Page 56, bottom" sheetId="17" r:id="rId3"/>
    <sheet name="Page 57" sheetId="40" r:id="rId4"/>
    <sheet name="Page 58, top" sheetId="41" r:id="rId5"/>
    <sheet name="Caterpillar EV market" sheetId="42" r:id="rId6"/>
    <sheet name="Page 58, bottom" sheetId="44" r:id="rId7"/>
    <sheet name="Page 59" sheetId="43" r:id="rId8"/>
    <sheet name="Page 65" sheetId="37" r:id="rId9"/>
    <sheet name="Page 66" sheetId="39" r:id="rId10"/>
    <sheet name="Page 67" sheetId="38" r:id="rId11"/>
    <sheet name="Pages 68-69" sheetId="36" r:id="rId12"/>
  </sheets>
  <functionGroups builtInGroupCount="18"/>
  <calcPr calcId="152511" iterate="1"/>
</workbook>
</file>

<file path=xl/calcChain.xml><?xml version="1.0" encoding="utf-8"?>
<calcChain xmlns="http://schemas.openxmlformats.org/spreadsheetml/2006/main">
  <c r="B19" i="15" l="1"/>
  <c r="E19" i="15"/>
  <c r="F29" i="39" l="1"/>
  <c r="E7" i="42" l="1"/>
  <c r="G9" i="38" l="1"/>
  <c r="B2" i="44" l="1"/>
  <c r="E19" i="40"/>
  <c r="B9" i="41"/>
  <c r="B20" i="40"/>
  <c r="C4" i="44"/>
  <c r="B21" i="44" l="1"/>
  <c r="B13" i="44"/>
  <c r="B11" i="44"/>
  <c r="B8" i="44"/>
  <c r="B7" i="44"/>
  <c r="B6" i="44"/>
  <c r="B9" i="44" s="1"/>
  <c r="B4" i="44"/>
  <c r="E5" i="43"/>
  <c r="E2" i="43"/>
  <c r="B2" i="43"/>
  <c r="E2" i="42"/>
  <c r="E10" i="42" s="1"/>
  <c r="B2" i="42"/>
  <c r="B10" i="42" s="1"/>
  <c r="E2" i="41"/>
  <c r="E9" i="41" s="1"/>
  <c r="B2" i="41"/>
  <c r="E12" i="40"/>
  <c r="E20" i="40" s="1"/>
  <c r="B8" i="40"/>
  <c r="E6" i="40"/>
  <c r="F2" i="42"/>
  <c r="C16" i="44"/>
  <c r="C9" i="44"/>
  <c r="C10" i="43"/>
  <c r="C9" i="41"/>
  <c r="C2" i="43"/>
  <c r="F2" i="41"/>
  <c r="F10" i="43"/>
  <c r="C2" i="42"/>
  <c r="C10" i="42"/>
  <c r="C21" i="44"/>
  <c r="F2" i="43"/>
  <c r="F9" i="41"/>
  <c r="C2" i="41"/>
  <c r="F10" i="42"/>
  <c r="C3" i="43"/>
  <c r="B16" i="44" l="1"/>
  <c r="E7" i="43"/>
  <c r="E10" i="43" s="1"/>
  <c r="B3" i="43" s="1"/>
  <c r="B10" i="43" s="1"/>
  <c r="F37" i="39" l="1"/>
  <c r="E37" i="39"/>
  <c r="D37" i="39"/>
  <c r="C37" i="39"/>
  <c r="B37" i="39"/>
  <c r="E29" i="39"/>
  <c r="D29" i="39"/>
  <c r="C29" i="39"/>
  <c r="B29" i="39"/>
  <c r="F28" i="39"/>
  <c r="F30" i="39" s="1"/>
  <c r="D28" i="39"/>
  <c r="D30" i="39" s="1"/>
  <c r="B28" i="39"/>
  <c r="B30" i="39" s="1"/>
  <c r="F18" i="39"/>
  <c r="E18" i="39"/>
  <c r="D18" i="39"/>
  <c r="F12" i="39"/>
  <c r="E12" i="39"/>
  <c r="E28" i="39" s="1"/>
  <c r="E30" i="39" s="1"/>
  <c r="D12" i="39"/>
  <c r="C12" i="39"/>
  <c r="C28" i="39" s="1"/>
  <c r="C30" i="39" s="1"/>
  <c r="B12" i="39"/>
  <c r="C8" i="38"/>
  <c r="C10" i="38" s="1"/>
  <c r="F35" i="37"/>
  <c r="E35" i="37"/>
  <c r="D35" i="37"/>
  <c r="C35" i="37"/>
  <c r="B35" i="37"/>
  <c r="F26" i="37"/>
  <c r="E26" i="37"/>
  <c r="D26" i="37"/>
  <c r="C26" i="37"/>
  <c r="B26" i="37"/>
  <c r="F18" i="37"/>
  <c r="E18" i="37"/>
  <c r="D18" i="37"/>
  <c r="F12" i="37"/>
  <c r="F28" i="37" s="1"/>
  <c r="E12" i="37"/>
  <c r="E28" i="37" s="1"/>
  <c r="D12" i="37"/>
  <c r="D28" i="37" s="1"/>
  <c r="C12" i="37"/>
  <c r="C28" i="37" s="1"/>
  <c r="B12" i="37"/>
  <c r="B28" i="37" s="1"/>
  <c r="B15" i="36"/>
  <c r="B16" i="36" s="1"/>
  <c r="C15" i="36"/>
  <c r="C28" i="36" s="1"/>
  <c r="B18" i="36"/>
  <c r="B28" i="36"/>
  <c r="B35" i="36"/>
  <c r="C37" i="36"/>
  <c r="D37" i="36" s="1"/>
  <c r="E37" i="36" s="1"/>
  <c r="F37" i="36" s="1"/>
  <c r="G37" i="36" s="1"/>
  <c r="G18" i="37"/>
  <c r="C12" i="38"/>
  <c r="G35" i="37"/>
  <c r="H10" i="38"/>
  <c r="G26" i="39"/>
  <c r="C15" i="38"/>
  <c r="G18" i="39"/>
  <c r="G28" i="37"/>
  <c r="G29" i="39"/>
  <c r="G26" i="37"/>
  <c r="G12" i="39"/>
  <c r="G12" i="37"/>
  <c r="C67" i="36"/>
  <c r="H9" i="38"/>
  <c r="H8" i="38"/>
  <c r="G28" i="39"/>
  <c r="G30" i="39"/>
  <c r="G37" i="39"/>
  <c r="C16" i="38"/>
  <c r="H59" i="36"/>
  <c r="C2" i="38"/>
  <c r="A19" i="38"/>
  <c r="C45" i="36" l="1"/>
  <c r="B32" i="36"/>
  <c r="B30" i="36" s="1"/>
  <c r="D8" i="38"/>
  <c r="D15" i="36"/>
  <c r="D16" i="36" s="1"/>
  <c r="C32" i="36"/>
  <c r="C35" i="36"/>
  <c r="C46" i="36" s="1"/>
  <c r="C16" i="36"/>
  <c r="A62" i="36"/>
  <c r="C62" i="36"/>
  <c r="D35" i="36" l="1"/>
  <c r="D46" i="36" s="1"/>
  <c r="B33" i="36"/>
  <c r="B36" i="36" s="1"/>
  <c r="D32" i="36"/>
  <c r="D28" i="36"/>
  <c r="D45" i="36" s="1"/>
  <c r="E15" i="36"/>
  <c r="E35" i="36" s="1"/>
  <c r="E46" i="36" s="1"/>
  <c r="E8" i="38"/>
  <c r="D10" i="38"/>
  <c r="B63" i="36"/>
  <c r="C63" i="36"/>
  <c r="B17" i="36" l="1"/>
  <c r="B20" i="36" s="1"/>
  <c r="B21" i="36" s="1"/>
  <c r="B22" i="36" s="1"/>
  <c r="B23" i="36" s="1"/>
  <c r="B24" i="36" s="1"/>
  <c r="B39" i="36"/>
  <c r="C36" i="36"/>
  <c r="C17" i="36"/>
  <c r="C48" i="36" s="1"/>
  <c r="F15" i="36"/>
  <c r="F28" i="36" s="1"/>
  <c r="E16" i="36"/>
  <c r="E32" i="36"/>
  <c r="E28" i="36"/>
  <c r="E45" i="36" s="1"/>
  <c r="F8" i="38"/>
  <c r="E10" i="38"/>
  <c r="C64" i="36"/>
  <c r="D36" i="36" l="1"/>
  <c r="G15" i="36"/>
  <c r="G16" i="36" s="1"/>
  <c r="F16" i="36"/>
  <c r="F35" i="36"/>
  <c r="F46" i="36" s="1"/>
  <c r="F32" i="36"/>
  <c r="F45" i="36"/>
  <c r="F10" i="38"/>
  <c r="G8" i="38"/>
  <c r="B65" i="36"/>
  <c r="C65" i="36"/>
  <c r="G35" i="36" l="1"/>
  <c r="G46" i="36" s="1"/>
  <c r="E36" i="36"/>
  <c r="F36" i="36" s="1"/>
  <c r="D17" i="36"/>
  <c r="D48" i="36" s="1"/>
  <c r="G32" i="36"/>
  <c r="G28" i="36"/>
  <c r="G45" i="36" s="1"/>
  <c r="G10" i="38"/>
  <c r="B12" i="38" s="1"/>
  <c r="B15" i="38" s="1"/>
  <c r="B16" i="38" s="1"/>
  <c r="B20" i="38" s="1"/>
  <c r="G36" i="36"/>
  <c r="C66" i="36"/>
  <c r="G17" i="36" l="1"/>
  <c r="F17" i="36"/>
  <c r="E17" i="36"/>
  <c r="E48" i="36" s="1"/>
  <c r="F48" i="36"/>
  <c r="G48" i="36"/>
  <c r="B14" i="17" l="1"/>
  <c r="E5" i="17"/>
  <c r="E14" i="17" s="1"/>
  <c r="E7" i="16"/>
  <c r="E17" i="16" s="1"/>
  <c r="B11" i="16"/>
  <c r="B17" i="16" s="1"/>
  <c r="E18" i="15"/>
  <c r="F17" i="16"/>
  <c r="F14" i="17"/>
  <c r="C14" i="17"/>
  <c r="C11" i="16"/>
  <c r="C17" i="16"/>
  <c r="C18" i="36" l="1"/>
  <c r="D18" i="36"/>
  <c r="E18" i="36"/>
  <c r="F18" i="36"/>
  <c r="G18" i="36"/>
  <c r="C19" i="36"/>
  <c r="D19" i="36"/>
  <c r="E19" i="36"/>
  <c r="F19" i="36"/>
  <c r="G19" i="36"/>
  <c r="C20" i="36"/>
  <c r="D20" i="36"/>
  <c r="E20" i="36"/>
  <c r="F20" i="36"/>
  <c r="G20" i="36"/>
  <c r="C21" i="36"/>
  <c r="D21" i="36"/>
  <c r="E21" i="36"/>
  <c r="F21" i="36"/>
  <c r="G21" i="36"/>
  <c r="C22" i="36"/>
  <c r="D22" i="36"/>
  <c r="E22" i="36"/>
  <c r="F22" i="36"/>
  <c r="G22" i="36"/>
  <c r="C23" i="36"/>
  <c r="D23" i="36"/>
  <c r="E23" i="36"/>
  <c r="F23" i="36"/>
  <c r="G23" i="36"/>
  <c r="C24" i="36"/>
  <c r="D24" i="36"/>
  <c r="E24" i="36"/>
  <c r="F24" i="36"/>
  <c r="G24" i="36"/>
  <c r="C27" i="36"/>
  <c r="D27" i="36"/>
  <c r="E27" i="36"/>
  <c r="F27" i="36"/>
  <c r="G27" i="36"/>
  <c r="C30" i="36"/>
  <c r="D30" i="36"/>
  <c r="E30" i="36"/>
  <c r="F30" i="36"/>
  <c r="G30" i="36"/>
  <c r="C31" i="36"/>
  <c r="D31" i="36"/>
  <c r="E31" i="36"/>
  <c r="F31" i="36"/>
  <c r="G31" i="36"/>
  <c r="C33" i="36"/>
  <c r="D33" i="36"/>
  <c r="E33" i="36"/>
  <c r="F33" i="36"/>
  <c r="G33" i="36"/>
  <c r="C38" i="36"/>
  <c r="D38" i="36"/>
  <c r="E38" i="36"/>
  <c r="F38" i="36"/>
  <c r="G38" i="36"/>
  <c r="C39" i="36"/>
  <c r="D39" i="36"/>
  <c r="E39" i="36"/>
  <c r="F39" i="36"/>
  <c r="G39" i="36"/>
  <c r="C43" i="36"/>
  <c r="D43" i="36"/>
  <c r="E43" i="36"/>
  <c r="F43" i="36"/>
  <c r="G43" i="36"/>
  <c r="C44" i="36"/>
  <c r="D44" i="36"/>
  <c r="E44" i="36"/>
  <c r="F44" i="36"/>
  <c r="G44" i="36"/>
  <c r="C47" i="36"/>
  <c r="D47" i="36"/>
  <c r="E47" i="36"/>
  <c r="F47" i="36"/>
  <c r="G47" i="36"/>
  <c r="C49" i="36"/>
  <c r="D49" i="36"/>
  <c r="E49" i="36"/>
  <c r="F49" i="36"/>
  <c r="G49" i="36"/>
  <c r="C50" i="36"/>
  <c r="D50" i="36"/>
  <c r="E50" i="36"/>
  <c r="F50" i="36"/>
  <c r="G50" i="36"/>
  <c r="C58" i="36"/>
  <c r="D58" i="36"/>
  <c r="E58" i="36"/>
  <c r="F58" i="36"/>
  <c r="G58" i="36"/>
  <c r="G59" i="36"/>
  <c r="C60" i="36"/>
  <c r="D60" i="36"/>
  <c r="E60" i="36"/>
  <c r="F60" i="36"/>
  <c r="G60" i="36"/>
  <c r="B62" i="36"/>
  <c r="B64" i="36"/>
  <c r="B66" i="36"/>
  <c r="B67" i="36"/>
</calcChain>
</file>

<file path=xl/sharedStrings.xml><?xml version="1.0" encoding="utf-8"?>
<sst xmlns="http://schemas.openxmlformats.org/spreadsheetml/2006/main" count="300" uniqueCount="183">
  <si>
    <t>Assets</t>
  </si>
  <si>
    <t>Liabilities and equity</t>
  </si>
  <si>
    <t>Total liabilities and equity</t>
  </si>
  <si>
    <t>Total assets</t>
  </si>
  <si>
    <t>Equity</t>
  </si>
  <si>
    <t>Retained earnings</t>
  </si>
  <si>
    <t>Cash</t>
  </si>
  <si>
    <t>Current assets</t>
  </si>
  <si>
    <t>Current liabilities</t>
  </si>
  <si>
    <t>Net working capital</t>
  </si>
  <si>
    <t>Enterprise value</t>
  </si>
  <si>
    <t>Terminal value</t>
  </si>
  <si>
    <t>Year</t>
  </si>
  <si>
    <t>FCF</t>
  </si>
  <si>
    <t>Long-term debt</t>
  </si>
  <si>
    <t>Minority interest</t>
  </si>
  <si>
    <t>Preferred stock</t>
  </si>
  <si>
    <t>Net debt</t>
  </si>
  <si>
    <t>Accounts receivable</t>
  </si>
  <si>
    <t>Inventories</t>
  </si>
  <si>
    <t>Tax rate</t>
  </si>
  <si>
    <t>Goodwill</t>
  </si>
  <si>
    <t>Accounts payable</t>
  </si>
  <si>
    <t>XYZ CORP BALANCE SHEET</t>
  </si>
  <si>
    <t>Short-term assets</t>
  </si>
  <si>
    <t>Marketable securities</t>
  </si>
  <si>
    <t>Fixed assets</t>
  </si>
  <si>
    <t>Land</t>
  </si>
  <si>
    <t>Minus accumulated depreciation</t>
  </si>
  <si>
    <t>Net fixed assets</t>
  </si>
  <si>
    <t>Short-term liabilities</t>
  </si>
  <si>
    <t>Taxes payable</t>
  </si>
  <si>
    <t>Current portion of long-term debt</t>
  </si>
  <si>
    <t>Short-term debt</t>
  </si>
  <si>
    <t>Pension liabilities</t>
  </si>
  <si>
    <t>Stock at par</t>
  </si>
  <si>
    <t>Accumulated retained earnings</t>
  </si>
  <si>
    <t>Stock repurchases</t>
  </si>
  <si>
    <t>Plant, property and equipment at cost</t>
  </si>
  <si>
    <t>Current assets, operational</t>
  </si>
  <si>
    <t>Minus, current liabilities, operational</t>
  </si>
  <si>
    <t>Financial debt</t>
  </si>
  <si>
    <t>Total financial debt</t>
  </si>
  <si>
    <t>Liquid assets (cash + marketable securities)</t>
  </si>
  <si>
    <t>Minus liquid assets</t>
  </si>
  <si>
    <t>XYZ ENTERPRISE VALUE BALANCE SHEET</t>
  </si>
  <si>
    <t>Dividends paid</t>
  </si>
  <si>
    <t>Free cash flow (FCF)</t>
  </si>
  <si>
    <t>Depreciation rate</t>
  </si>
  <si>
    <t>Total</t>
  </si>
  <si>
    <t>Growth rate of FCF, years 1-5</t>
  </si>
  <si>
    <t>Long-term FCF growth rate</t>
  </si>
  <si>
    <t>Weighted average cost of capital, WACC</t>
  </si>
  <si>
    <t>&lt;-- From current balance sheet</t>
  </si>
  <si>
    <t>Equity value</t>
  </si>
  <si>
    <t>Income taxes</t>
  </si>
  <si>
    <r>
      <t xml:space="preserve">XYZ BALANCE SHEET
</t>
    </r>
    <r>
      <rPr>
        <b/>
        <sz val="12"/>
        <color theme="1"/>
        <rFont val="Arial"/>
        <family val="2"/>
      </rPr>
      <t>Operational current liabilities moved to left side
All financial liabilities in one account on right side</t>
    </r>
  </si>
  <si>
    <t>Subtract out value of firm's debt today</t>
  </si>
  <si>
    <t>Asset value in year 0</t>
  </si>
  <si>
    <t>Add in initial (year 0) cash and mkt. securities</t>
  </si>
  <si>
    <t>Long-term free cash flow growth rate</t>
  </si>
  <si>
    <t>Weighted average cost of capital</t>
  </si>
  <si>
    <t>Valuing the firm</t>
  </si>
  <si>
    <t>Free cash flow</t>
  </si>
  <si>
    <t>Subtract after-tax interest on cash and mkt. securities</t>
  </si>
  <si>
    <t>Add back after-tax interest on debt</t>
  </si>
  <si>
    <t>Subtract increase in fixed assets at cost</t>
  </si>
  <si>
    <t>Add back increase in current liabilities</t>
  </si>
  <si>
    <t>Subtract increase in current assets</t>
  </si>
  <si>
    <t>Add back depreciation</t>
  </si>
  <si>
    <t>Profit after tax</t>
  </si>
  <si>
    <t>Free cash flow calculation</t>
  </si>
  <si>
    <t>Stock</t>
  </si>
  <si>
    <t>Debt</t>
  </si>
  <si>
    <t xml:space="preserve">     Net fixed assets</t>
  </si>
  <si>
    <t xml:space="preserve">     Depreciation</t>
  </si>
  <si>
    <t xml:space="preserve">     At cost</t>
  </si>
  <si>
    <t>Cash and marketable securities</t>
  </si>
  <si>
    <t>Balance sheet</t>
  </si>
  <si>
    <t>Dividends</t>
  </si>
  <si>
    <t>Taxes</t>
  </si>
  <si>
    <t>Profit before tax</t>
  </si>
  <si>
    <t>Depreciation</t>
  </si>
  <si>
    <t>Interest earned on cash and marketable securities</t>
  </si>
  <si>
    <t>Interest payments on debt</t>
  </si>
  <si>
    <t>Costs of goods sold</t>
  </si>
  <si>
    <t>Sales</t>
  </si>
  <si>
    <t>Income statement</t>
  </si>
  <si>
    <t>Dividend payout ratio</t>
  </si>
  <si>
    <t>Interest paid on cash and marketable securities</t>
  </si>
  <si>
    <t>Interest rate on debt</t>
  </si>
  <si>
    <t>Costs of goods sold/Sales</t>
  </si>
  <si>
    <t>Net fixed assets/Sales</t>
  </si>
  <si>
    <t>Current liabilities/Sales</t>
  </si>
  <si>
    <t>Current assets/Sales</t>
  </si>
  <si>
    <t>Sales growth</t>
  </si>
  <si>
    <t>Operating Activities:</t>
  </si>
  <si>
    <t>Net earnings</t>
  </si>
  <si>
    <t>Adjustments to reconcile net earnings to net cash provided by operating activities</t>
  </si>
  <si>
    <t>Add back depreciation and amortization</t>
  </si>
  <si>
    <t>Changes in operating assets and liabilities:</t>
  </si>
  <si>
    <t>Subtract increase in accounts receivable</t>
  </si>
  <si>
    <t>Subtract increase in inventories</t>
  </si>
  <si>
    <t>Subtract increase in prepaid expenses and other assets</t>
  </si>
  <si>
    <t>Add increase in accounts payable, accrued expenses, pensions and other liabilities</t>
  </si>
  <si>
    <t>Net cash provided by operating activities</t>
  </si>
  <si>
    <t>Investing Activities:</t>
  </si>
  <si>
    <t>Short-term investments, net</t>
  </si>
  <si>
    <t>Purchases of property, plant and equipment</t>
  </si>
  <si>
    <t>Proceeds from dispositions of property, plant and equipment</t>
  </si>
  <si>
    <t>Net cash used in investing activities</t>
  </si>
  <si>
    <t>Financing Activities:</t>
  </si>
  <si>
    <t>Repayment of debt</t>
  </si>
  <si>
    <t>Proceeds from revolving credit facility borrowings</t>
  </si>
  <si>
    <t>Proceeds from the issuance of stock</t>
  </si>
  <si>
    <t>Stock repurchased</t>
  </si>
  <si>
    <t>Net cash used in financing activities</t>
  </si>
  <si>
    <t>Changes in cash balances</t>
  </si>
  <si>
    <t>Supplemental disclosure of cash flow information</t>
  </si>
  <si>
    <t>Cash paid during the period for</t>
  </si>
  <si>
    <t>Interest</t>
  </si>
  <si>
    <t>Income tax rate</t>
  </si>
  <si>
    <t>ABC CORP. VALUATION</t>
  </si>
  <si>
    <t>Free cash flow (FCF)
year ending 31 Dec. 2012</t>
  </si>
  <si>
    <t>&lt;-- Optimistic about short-term growth</t>
  </si>
  <si>
    <t>&lt;-- More pessimistic about long-term growth</t>
  </si>
  <si>
    <t>Add back initial cash and marketable securities</t>
  </si>
  <si>
    <t>Subtract out 2012 financial liabilities</t>
  </si>
  <si>
    <t>Per share (1 million shares outstanding)</t>
  </si>
  <si>
    <t>Data table:  Share value vs LT growth and WACC</t>
  </si>
  <si>
    <t>Long-term growth ↓</t>
  </si>
  <si>
    <t>WACC →</t>
  </si>
  <si>
    <t>Free cash flow before interest adjustment</t>
  </si>
  <si>
    <t>Add back after-tax net interest</t>
  </si>
  <si>
    <t>Share value (100 shares)</t>
  </si>
  <si>
    <t>PRO FORMA FINANCIAL MODEL</t>
  </si>
  <si>
    <t>Left-hand side of rewritten 
balance sheet</t>
  </si>
  <si>
    <t>Right-hand side of rewritten balance sheet</t>
  </si>
  <si>
    <t>Cash and cash equivalents</t>
  </si>
  <si>
    <t>Short-term investments</t>
  </si>
  <si>
    <t xml:space="preserve">Short-term debt </t>
  </si>
  <si>
    <t>Net receivables</t>
  </si>
  <si>
    <t>Other current liabilities</t>
  </si>
  <si>
    <t>Inventory</t>
  </si>
  <si>
    <t>Total current liabilities</t>
  </si>
  <si>
    <t>Other current assets</t>
  </si>
  <si>
    <t>Total current assets</t>
  </si>
  <si>
    <t>Other liabilities</t>
  </si>
  <si>
    <t>Long-term investments</t>
  </si>
  <si>
    <t>Property, plant and equipment (net)</t>
  </si>
  <si>
    <t xml:space="preserve">Minority interest </t>
  </si>
  <si>
    <t>Total liabilities</t>
  </si>
  <si>
    <t>Intangible assets</t>
  </si>
  <si>
    <t>Other assets</t>
  </si>
  <si>
    <t>Stocks, options, warrants</t>
  </si>
  <si>
    <t>Deferred long-term asset charges</t>
  </si>
  <si>
    <t>Common stock</t>
  </si>
  <si>
    <t>Treasury stock</t>
  </si>
  <si>
    <t>Other stockholder equity</t>
  </si>
  <si>
    <t>Total equity</t>
  </si>
  <si>
    <t>Total equity and liabilities</t>
  </si>
  <si>
    <t>CATERPILLAR CORP., 2011 ENTERPRISE VALUE BALANCE SHEET
Book values</t>
  </si>
  <si>
    <t>Net financial debt</t>
  </si>
  <si>
    <t>Property, plant and equipment</t>
  </si>
  <si>
    <t>CATERPILLAR CORP., 2011 ENTERPRISE VALUE BALANCE SHEET
Market Values</t>
  </si>
  <si>
    <r>
      <t xml:space="preserve">CATERPILLAR VALUATION OF EQUITY AND FINANCIAL LIABILITIES:  EFFICIENT MARKETS APPROACH
</t>
    </r>
    <r>
      <rPr>
        <sz val="14"/>
        <color theme="1"/>
        <rFont val="Arial"/>
        <family val="2"/>
      </rPr>
      <t>Most figures in thousand $</t>
    </r>
  </si>
  <si>
    <t>Number of shares outstanding</t>
  </si>
  <si>
    <t>Price per share</t>
  </si>
  <si>
    <t>&lt;-- 30dec2011</t>
  </si>
  <si>
    <t>Equity value ("Market Cap")</t>
  </si>
  <si>
    <t>Short-term debt and current portion of long-term debt</t>
  </si>
  <si>
    <t>Enterprise value:  Equity + Net debt 
+ Minority Interest + Preferred</t>
  </si>
  <si>
    <t>Shares outstanding</t>
  </si>
  <si>
    <t>Issued</t>
  </si>
  <si>
    <t>Treasury stock (repurchased shares)</t>
  </si>
  <si>
    <t>Outstanding shares</t>
  </si>
  <si>
    <t>&lt;-- thousand shares</t>
  </si>
  <si>
    <t>&lt;-- Market cap</t>
  </si>
  <si>
    <t>ABC CORPORATION
Consolidated Statement of Cash Flows, 2008-2012</t>
  </si>
  <si>
    <t>ABC CORPORATION
CSCF rewritten to Free Cash Flow (FCF)</t>
  </si>
  <si>
    <t>Add increase in accounts payable, accrued expenses, pensions, and other liabilities</t>
  </si>
  <si>
    <t>CATERPILLAR CORP., BALANCE SHEET
31 December 2011</t>
  </si>
  <si>
    <r>
      <t xml:space="preserve">CATERPILLAR CORP., 2011 ENTERPRISE VALUE BALANCE SHEET
</t>
    </r>
    <r>
      <rPr>
        <b/>
        <sz val="12"/>
        <color theme="1"/>
        <rFont val="Arial"/>
        <family val="2"/>
      </rPr>
      <t>Right-hand side revalued at market values
Left-hand side brought into balance with right-hand side by adjusting long-term assets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</si>
</sst>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\(0\)"/>
    <numFmt numFmtId="165" formatCode="_(* #,##0_);_(* \(#,##0\);_(* &quot;-&quot;??_);_(@_)"/>
  </numFmts>
  <fonts count="11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>
      <alignment vertical="top"/>
    </xf>
    <xf numFmtId="9" fontId="4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3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horizontal="left" wrapText="1" indent="1"/>
    </xf>
    <xf numFmtId="10" fontId="0" fillId="0" borderId="0" xfId="1" applyNumberFormat="1" applyFont="1"/>
    <xf numFmtId="0" fontId="0" fillId="0" borderId="0" xfId="0" applyAlignment="1">
      <alignment horizontal="left" wrapText="1"/>
    </xf>
    <xf numFmtId="3" fontId="0" fillId="0" borderId="0" xfId="0" applyNumberFormat="1" applyAlignment="1">
      <alignment horizontal="right"/>
    </xf>
    <xf numFmtId="3" fontId="0" fillId="0" borderId="0" xfId="0" applyNumberFormat="1" applyAlignment="1">
      <alignment horizontal="right" indent="1"/>
    </xf>
    <xf numFmtId="0" fontId="1" fillId="0" borderId="0" xfId="0" applyFont="1"/>
    <xf numFmtId="3" fontId="1" fillId="0" borderId="0" xfId="0" applyNumberFormat="1" applyFont="1" applyAlignment="1">
      <alignment horizontal="right"/>
    </xf>
    <xf numFmtId="3" fontId="1" fillId="0" borderId="0" xfId="0" applyNumberFormat="1" applyFont="1"/>
    <xf numFmtId="0" fontId="0" fillId="0" borderId="0" xfId="0" applyFont="1"/>
    <xf numFmtId="3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 applyFont="1" applyFill="1"/>
    <xf numFmtId="3" fontId="0" fillId="0" borderId="0" xfId="0" applyNumberFormat="1" applyFont="1"/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Fill="1"/>
    <xf numFmtId="3" fontId="6" fillId="0" borderId="0" xfId="0" applyNumberFormat="1" applyFont="1"/>
    <xf numFmtId="0" fontId="4" fillId="0" borderId="0" xfId="2"/>
    <xf numFmtId="0" fontId="9" fillId="0" borderId="0" xfId="2" applyFont="1"/>
    <xf numFmtId="3" fontId="4" fillId="0" borderId="0" xfId="2" applyNumberFormat="1"/>
    <xf numFmtId="9" fontId="4" fillId="0" borderId="0" xfId="2" applyNumberFormat="1"/>
    <xf numFmtId="37" fontId="4" fillId="0" borderId="0" xfId="2" applyNumberFormat="1"/>
    <xf numFmtId="164" fontId="4" fillId="0" borderId="0" xfId="2" applyNumberFormat="1"/>
    <xf numFmtId="164" fontId="9" fillId="0" borderId="0" xfId="2" applyNumberFormat="1" applyFont="1" applyAlignment="1">
      <alignment horizontal="center"/>
    </xf>
    <xf numFmtId="164" fontId="9" fillId="0" borderId="0" xfId="2" applyNumberFormat="1" applyFont="1"/>
    <xf numFmtId="0" fontId="4" fillId="0" borderId="0" xfId="2" applyFont="1"/>
    <xf numFmtId="9" fontId="4" fillId="0" borderId="0" xfId="2" applyNumberFormat="1" applyFont="1"/>
    <xf numFmtId="0" fontId="5" fillId="0" borderId="0" xfId="2" applyFont="1"/>
    <xf numFmtId="3" fontId="4" fillId="0" borderId="0" xfId="2" quotePrefix="1" applyNumberFormat="1"/>
    <xf numFmtId="165" fontId="4" fillId="0" borderId="0" xfId="3" applyNumberFormat="1" applyFont="1"/>
    <xf numFmtId="165" fontId="0" fillId="0" borderId="0" xfId="3" applyNumberFormat="1" applyFont="1"/>
    <xf numFmtId="165" fontId="4" fillId="0" borderId="0" xfId="2" applyNumberFormat="1"/>
    <xf numFmtId="0" fontId="9" fillId="0" borderId="0" xfId="2" applyFont="1" applyAlignment="1">
      <alignment horizontal="center"/>
    </xf>
    <xf numFmtId="10" fontId="4" fillId="0" borderId="0" xfId="2" applyNumberFormat="1"/>
    <xf numFmtId="0" fontId="4" fillId="0" borderId="0" xfId="2" applyFont="1" applyAlignment="1">
      <alignment wrapText="1"/>
    </xf>
    <xf numFmtId="0" fontId="9" fillId="0" borderId="0" xfId="5" applyFont="1" applyBorder="1" applyAlignment="1">
      <alignment horizontal="center" vertical="top"/>
    </xf>
    <xf numFmtId="0" fontId="9" fillId="0" borderId="0" xfId="2" applyFont="1" applyBorder="1" applyAlignment="1">
      <alignment horizontal="center"/>
    </xf>
    <xf numFmtId="0" fontId="9" fillId="0" borderId="0" xfId="2" applyFont="1" applyAlignment="1">
      <alignment wrapText="1"/>
    </xf>
    <xf numFmtId="0" fontId="4" fillId="0" borderId="0" xfId="5" applyFont="1">
      <alignment vertical="top"/>
    </xf>
    <xf numFmtId="3" fontId="4" fillId="0" borderId="0" xfId="5" applyNumberFormat="1" applyFont="1">
      <alignment vertical="top"/>
    </xf>
    <xf numFmtId="3" fontId="4" fillId="0" borderId="0" xfId="4" applyNumberFormat="1" applyFont="1" applyAlignment="1">
      <alignment horizontal="right"/>
    </xf>
    <xf numFmtId="3" fontId="4" fillId="0" borderId="0" xfId="4" applyNumberFormat="1" applyFont="1"/>
    <xf numFmtId="0" fontId="4" fillId="0" borderId="0" xfId="2" applyFont="1" applyAlignment="1">
      <alignment horizontal="left" wrapText="1"/>
    </xf>
    <xf numFmtId="3" fontId="4" fillId="0" borderId="0" xfId="2" applyNumberFormat="1" applyFont="1"/>
    <xf numFmtId="3" fontId="4" fillId="0" borderId="0" xfId="3" applyNumberFormat="1" applyFont="1"/>
    <xf numFmtId="0" fontId="4" fillId="0" borderId="0" xfId="2" applyFont="1" applyAlignment="1">
      <alignment horizontal="left" wrapText="1" indent="2"/>
    </xf>
    <xf numFmtId="0" fontId="4" fillId="0" borderId="0" xfId="2" applyFont="1" applyAlignment="1">
      <alignment horizontal="left" wrapText="1" indent="3"/>
    </xf>
    <xf numFmtId="0" fontId="9" fillId="0" borderId="0" xfId="2" applyFont="1" applyAlignment="1">
      <alignment horizontal="left" wrapText="1"/>
    </xf>
    <xf numFmtId="3" fontId="9" fillId="0" borderId="0" xfId="3" applyNumberFormat="1" applyFont="1" applyBorder="1" applyAlignment="1"/>
    <xf numFmtId="3" fontId="9" fillId="0" borderId="0" xfId="5" applyNumberFormat="1" applyFont="1">
      <alignment vertical="top"/>
    </xf>
    <xf numFmtId="3" fontId="4" fillId="0" borderId="0" xfId="3" applyNumberFormat="1" applyFont="1" applyBorder="1"/>
    <xf numFmtId="3" fontId="9" fillId="0" borderId="0" xfId="2" applyNumberFormat="1" applyFont="1"/>
    <xf numFmtId="0" fontId="9" fillId="0" borderId="0" xfId="2" applyFont="1" applyAlignment="1"/>
    <xf numFmtId="0" fontId="4" fillId="0" borderId="0" xfId="2" applyFont="1" applyAlignment="1">
      <alignment horizontal="left" wrapText="1" indent="1"/>
    </xf>
    <xf numFmtId="10" fontId="4" fillId="0" borderId="0" xfId="1" applyNumberFormat="1" applyFont="1"/>
    <xf numFmtId="0" fontId="6" fillId="0" borderId="0" xfId="0" applyFont="1" applyAlignment="1">
      <alignment wrapText="1"/>
    </xf>
    <xf numFmtId="0" fontId="6" fillId="0" borderId="0" xfId="0" applyFont="1" applyFill="1" applyAlignment="1">
      <alignment wrapText="1"/>
    </xf>
    <xf numFmtId="2" fontId="0" fillId="0" borderId="0" xfId="0" applyNumberFormat="1" applyFont="1"/>
    <xf numFmtId="9" fontId="0" fillId="3" borderId="0" xfId="0" applyNumberFormat="1" applyFont="1" applyFill="1"/>
    <xf numFmtId="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right"/>
    </xf>
    <xf numFmtId="3" fontId="4" fillId="2" borderId="0" xfId="5" applyNumberFormat="1" applyFont="1" applyFill="1">
      <alignment vertical="top"/>
    </xf>
    <xf numFmtId="3" fontId="4" fillId="2" borderId="0" xfId="3" applyNumberFormat="1" applyFont="1" applyFill="1"/>
    <xf numFmtId="3" fontId="4" fillId="2" borderId="0" xfId="3" applyNumberFormat="1" applyFont="1" applyFill="1" applyBorder="1"/>
    <xf numFmtId="3" fontId="9" fillId="2" borderId="0" xfId="3" applyNumberFormat="1" applyFont="1" applyFill="1" applyBorder="1" applyAlignment="1"/>
    <xf numFmtId="0" fontId="9" fillId="2" borderId="0" xfId="2" applyFont="1" applyFill="1" applyAlignment="1">
      <alignment wrapText="1"/>
    </xf>
    <xf numFmtId="3" fontId="9" fillId="2" borderId="0" xfId="2" applyNumberFormat="1" applyFont="1" applyFill="1"/>
    <xf numFmtId="4" fontId="4" fillId="0" borderId="0" xfId="2" applyNumberFormat="1"/>
    <xf numFmtId="0" fontId="1" fillId="0" borderId="0" xfId="0" applyFont="1" applyAlignment="1">
      <alignment vertical="top" wrapText="1"/>
    </xf>
    <xf numFmtId="3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vertical="top"/>
    </xf>
    <xf numFmtId="0" fontId="0" fillId="0" borderId="0" xfId="0" applyAlignment="1">
      <alignment horizontal="left" indent="2"/>
    </xf>
    <xf numFmtId="3" fontId="0" fillId="0" borderId="0" xfId="0" applyNumberFormat="1" applyAlignment="1">
      <alignment vertical="center"/>
    </xf>
    <xf numFmtId="0" fontId="0" fillId="0" borderId="0" xfId="0" applyFill="1"/>
    <xf numFmtId="3" fontId="0" fillId="0" borderId="0" xfId="0" applyNumberFormat="1" applyFill="1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wrapText="1"/>
    </xf>
    <xf numFmtId="4" fontId="0" fillId="0" borderId="0" xfId="0" applyNumberFormat="1"/>
    <xf numFmtId="3" fontId="0" fillId="2" borderId="0" xfId="0" applyNumberFormat="1" applyFill="1"/>
    <xf numFmtId="3" fontId="0" fillId="2" borderId="0" xfId="0" applyNumberFormat="1" applyFill="1" applyAlignment="1">
      <alignment vertical="top"/>
    </xf>
    <xf numFmtId="0" fontId="6" fillId="2" borderId="0" xfId="0" applyFont="1" applyFill="1"/>
    <xf numFmtId="2" fontId="0" fillId="2" borderId="0" xfId="0" applyNumberFormat="1" applyFont="1" applyFill="1"/>
    <xf numFmtId="3" fontId="4" fillId="0" borderId="0" xfId="5" applyNumberFormat="1" applyFont="1" applyAlignment="1">
      <alignment vertical="center"/>
    </xf>
    <xf numFmtId="3" fontId="4" fillId="0" borderId="0" xfId="3" applyNumberFormat="1" applyFont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5" fillId="0" borderId="0" xfId="2" applyFont="1" applyAlignment="1">
      <alignment horizontal="center"/>
    </xf>
  </cellXfs>
  <cellStyles count="7">
    <cellStyle name="Comma 2" xfId="3"/>
    <cellStyle name="Currency 2" xfId="4"/>
    <cellStyle name="Normal" xfId="0" builtinId="0"/>
    <cellStyle name="Normal 2" xfId="2"/>
    <cellStyle name="Normal 3" xfId="5"/>
    <cellStyle name="Percent" xfId="1" builtinId="5"/>
    <cellStyle name="Percent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779780</xdr:colOff>
      <xdr:row>9</xdr:row>
      <xdr:rowOff>9753</xdr:rowOff>
    </xdr:from>
    <xdr:to>
      <xdr:col>4</xdr:col>
      <xdr:colOff>206080</xdr:colOff>
      <xdr:row>17</xdr:row>
      <xdr:rowOff>100489</xdr:rowOff>
    </xdr:to>
    <xdr:sp macro="" textlink="">
      <xdr:nvSpPr>
        <xdr:cNvPr id="2" name="Left-Up Arrow 1"/>
        <xdr:cNvSpPr/>
      </xdr:nvSpPr>
      <xdr:spPr>
        <a:xfrm rot="1339435">
          <a:off x="2951480" y="2577693"/>
          <a:ext cx="3068660" cy="1668076"/>
        </a:xfrm>
        <a:prstGeom prst="leftUpArrow">
          <a:avLst>
            <a:gd name="adj1" fmla="val 4679"/>
            <a:gd name="adj2" fmla="val 25000"/>
            <a:gd name="adj3" fmla="val 1317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955808</xdr:colOff>
      <xdr:row>7</xdr:row>
      <xdr:rowOff>122174</xdr:rowOff>
    </xdr:from>
    <xdr:to>
      <xdr:col>4</xdr:col>
      <xdr:colOff>638772</xdr:colOff>
      <xdr:row>19</xdr:row>
      <xdr:rowOff>93354</xdr:rowOff>
    </xdr:to>
    <xdr:sp macro="" textlink="">
      <xdr:nvSpPr>
        <xdr:cNvPr id="2" name="Left-Up Arrow 1"/>
        <xdr:cNvSpPr/>
      </xdr:nvSpPr>
      <xdr:spPr>
        <a:xfrm rot="1339435">
          <a:off x="3127508" y="2872994"/>
          <a:ext cx="3553924" cy="2112400"/>
        </a:xfrm>
        <a:prstGeom prst="leftUpArrow">
          <a:avLst>
            <a:gd name="adj1" fmla="val 4679"/>
            <a:gd name="adj2" fmla="val 23862"/>
            <a:gd name="adj3" fmla="val 1293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tabSelected="1" workbookViewId="0">
      <selection sqref="A1:E1"/>
    </sheetView>
  </sheetViews>
  <sheetFormatPr defaultRowHeight="13.8" x14ac:dyDescent="0.25"/>
  <cols>
    <col min="1" max="1" width="29.296875" customWidth="1"/>
    <col min="2" max="2" width="12.296875" style="9" customWidth="1"/>
    <col min="3" max="3" width="3.69921875" customWidth="1"/>
    <col min="4" max="4" width="28.796875" bestFit="1" customWidth="1"/>
    <col min="5" max="5" width="8.796875" style="4"/>
  </cols>
  <sheetData>
    <row r="1" spans="1:5" ht="17.399999999999999" x14ac:dyDescent="0.3">
      <c r="A1" s="91" t="s">
        <v>23</v>
      </c>
      <c r="B1" s="91"/>
      <c r="C1" s="91"/>
      <c r="D1" s="91"/>
      <c r="E1" s="91"/>
    </row>
    <row r="2" spans="1:5" s="11" customFormat="1" x14ac:dyDescent="0.25">
      <c r="A2" s="11" t="s">
        <v>0</v>
      </c>
      <c r="B2" s="12"/>
      <c r="D2" s="11" t="s">
        <v>1</v>
      </c>
      <c r="E2" s="13"/>
    </row>
    <row r="3" spans="1:5" x14ac:dyDescent="0.25">
      <c r="A3" s="3" t="s">
        <v>24</v>
      </c>
      <c r="B3" s="10"/>
      <c r="D3" t="s">
        <v>30</v>
      </c>
    </row>
    <row r="4" spans="1:5" x14ac:dyDescent="0.25">
      <c r="A4" s="2" t="s">
        <v>6</v>
      </c>
      <c r="B4" s="9">
        <v>1000</v>
      </c>
      <c r="D4" s="2" t="s">
        <v>22</v>
      </c>
      <c r="E4" s="4">
        <v>1500</v>
      </c>
    </row>
    <row r="5" spans="1:5" x14ac:dyDescent="0.25">
      <c r="A5" s="2" t="s">
        <v>25</v>
      </c>
      <c r="B5" s="9">
        <v>1500</v>
      </c>
      <c r="D5" s="2" t="s">
        <v>31</v>
      </c>
      <c r="E5" s="4">
        <v>200</v>
      </c>
    </row>
    <row r="6" spans="1:5" x14ac:dyDescent="0.25">
      <c r="A6" s="2" t="s">
        <v>19</v>
      </c>
      <c r="B6" s="9">
        <v>1500</v>
      </c>
      <c r="D6" s="2" t="s">
        <v>32</v>
      </c>
      <c r="E6" s="4">
        <v>1000</v>
      </c>
    </row>
    <row r="7" spans="1:5" x14ac:dyDescent="0.25">
      <c r="A7" s="2" t="s">
        <v>18</v>
      </c>
      <c r="B7" s="9">
        <v>3000</v>
      </c>
      <c r="D7" s="2" t="s">
        <v>33</v>
      </c>
      <c r="E7" s="4">
        <v>500</v>
      </c>
    </row>
    <row r="9" spans="1:5" x14ac:dyDescent="0.25">
      <c r="A9" t="s">
        <v>26</v>
      </c>
      <c r="D9" t="s">
        <v>14</v>
      </c>
      <c r="E9" s="4">
        <v>1500</v>
      </c>
    </row>
    <row r="10" spans="1:5" x14ac:dyDescent="0.25">
      <c r="A10" s="2" t="s">
        <v>27</v>
      </c>
      <c r="B10" s="9">
        <v>150</v>
      </c>
      <c r="D10" t="s">
        <v>34</v>
      </c>
      <c r="E10" s="4">
        <v>800</v>
      </c>
    </row>
    <row r="11" spans="1:5" ht="27.6" x14ac:dyDescent="0.25">
      <c r="A11" s="6" t="s">
        <v>38</v>
      </c>
      <c r="B11" s="9">
        <v>2500</v>
      </c>
    </row>
    <row r="12" spans="1:5" x14ac:dyDescent="0.25">
      <c r="A12" s="2" t="s">
        <v>28</v>
      </c>
      <c r="B12" s="9">
        <v>-700</v>
      </c>
      <c r="D12" t="s">
        <v>16</v>
      </c>
      <c r="E12" s="4">
        <v>200</v>
      </c>
    </row>
    <row r="13" spans="1:5" x14ac:dyDescent="0.25">
      <c r="A13" s="2" t="s">
        <v>29</v>
      </c>
      <c r="D13" t="s">
        <v>15</v>
      </c>
      <c r="E13" s="4">
        <v>100</v>
      </c>
    </row>
    <row r="15" spans="1:5" x14ac:dyDescent="0.25">
      <c r="D15" t="s">
        <v>4</v>
      </c>
    </row>
    <row r="16" spans="1:5" x14ac:dyDescent="0.25">
      <c r="A16" t="s">
        <v>21</v>
      </c>
      <c r="B16" s="9">
        <v>1000</v>
      </c>
      <c r="D16" s="2" t="s">
        <v>35</v>
      </c>
      <c r="E16" s="4">
        <v>1000</v>
      </c>
    </row>
    <row r="17" spans="1:5" x14ac:dyDescent="0.25">
      <c r="D17" s="2" t="s">
        <v>36</v>
      </c>
      <c r="E17" s="4">
        <v>3500</v>
      </c>
    </row>
    <row r="18" spans="1:5" x14ac:dyDescent="0.25">
      <c r="D18" s="2" t="s">
        <v>37</v>
      </c>
      <c r="E18" s="4">
        <f>-350</f>
        <v>-350</v>
      </c>
    </row>
    <row r="19" spans="1:5" x14ac:dyDescent="0.25">
      <c r="A19" s="11" t="s">
        <v>3</v>
      </c>
      <c r="B19" s="12">
        <f>SUM(B3:B16)</f>
        <v>9950</v>
      </c>
      <c r="C19" s="11"/>
      <c r="D19" s="11" t="s">
        <v>2</v>
      </c>
      <c r="E19" s="13">
        <f>SUM(E3:E18)</f>
        <v>9950</v>
      </c>
    </row>
  </sheetData>
  <mergeCells count="1">
    <mergeCell ref="A1:E1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>
      <selection sqref="A1:F1"/>
    </sheetView>
  </sheetViews>
  <sheetFormatPr defaultRowHeight="13.8" x14ac:dyDescent="0.25"/>
  <cols>
    <col min="1" max="1" width="25" customWidth="1"/>
    <col min="2" max="2" width="12.296875" style="9" customWidth="1"/>
    <col min="3" max="3" width="18.8984375" style="1" customWidth="1"/>
    <col min="4" max="4" width="21.296875" customWidth="1"/>
    <col min="5" max="5" width="9.3984375" style="4" bestFit="1" customWidth="1"/>
    <col min="6" max="6" width="14.69921875" style="1" customWidth="1"/>
  </cols>
  <sheetData>
    <row r="1" spans="1:6" ht="55.2" customHeight="1" x14ac:dyDescent="0.25">
      <c r="A1" s="92" t="s">
        <v>56</v>
      </c>
      <c r="B1" s="93"/>
      <c r="C1" s="93"/>
      <c r="D1" s="93"/>
      <c r="E1" s="93"/>
      <c r="F1" s="93"/>
    </row>
    <row r="2" spans="1:6" s="11" customFormat="1" x14ac:dyDescent="0.25">
      <c r="A2" s="11" t="s">
        <v>0</v>
      </c>
      <c r="B2" s="12"/>
      <c r="C2" s="5"/>
      <c r="D2" s="11" t="s">
        <v>1</v>
      </c>
      <c r="E2" s="13"/>
      <c r="F2" s="5"/>
    </row>
    <row r="3" spans="1:6" s="11" customFormat="1" ht="27.6" x14ac:dyDescent="0.25">
      <c r="A3" s="8" t="s">
        <v>43</v>
      </c>
      <c r="B3" s="9">
        <v>2500</v>
      </c>
      <c r="C3" s="5"/>
      <c r="D3" s="14" t="s">
        <v>41</v>
      </c>
      <c r="E3" s="13"/>
      <c r="F3" s="5"/>
    </row>
    <row r="4" spans="1:6" s="11" customFormat="1" ht="27.6" x14ac:dyDescent="0.25">
      <c r="A4" s="3"/>
      <c r="B4" s="9"/>
      <c r="C4" s="5"/>
      <c r="D4" s="6" t="s">
        <v>32</v>
      </c>
      <c r="E4" s="4">
        <v>1000</v>
      </c>
      <c r="F4" s="5"/>
    </row>
    <row r="5" spans="1:6" s="11" customFormat="1" x14ac:dyDescent="0.25">
      <c r="A5" s="3" t="s">
        <v>39</v>
      </c>
      <c r="B5" s="10"/>
      <c r="C5" s="1"/>
      <c r="D5" s="2" t="s">
        <v>33</v>
      </c>
      <c r="E5" s="4">
        <v>500</v>
      </c>
      <c r="F5" s="5"/>
    </row>
    <row r="6" spans="1:6" s="11" customFormat="1" x14ac:dyDescent="0.25">
      <c r="A6" s="2" t="s">
        <v>19</v>
      </c>
      <c r="B6" s="9">
        <v>1500</v>
      </c>
      <c r="C6" s="1"/>
      <c r="D6" s="2" t="s">
        <v>14</v>
      </c>
      <c r="E6" s="9">
        <v>1500</v>
      </c>
      <c r="F6" s="5"/>
    </row>
    <row r="7" spans="1:6" x14ac:dyDescent="0.25">
      <c r="A7" s="2" t="s">
        <v>18</v>
      </c>
      <c r="B7" s="9">
        <v>3000</v>
      </c>
      <c r="D7" s="3" t="s">
        <v>42</v>
      </c>
      <c r="E7" s="4">
        <f>SUM(E4:E6)</f>
        <v>3000</v>
      </c>
    </row>
    <row r="8" spans="1:6" x14ac:dyDescent="0.25">
      <c r="A8" t="s">
        <v>40</v>
      </c>
    </row>
    <row r="9" spans="1:6" x14ac:dyDescent="0.25">
      <c r="A9" s="2" t="s">
        <v>22</v>
      </c>
      <c r="B9" s="4">
        <v>-1500</v>
      </c>
    </row>
    <row r="10" spans="1:6" x14ac:dyDescent="0.25">
      <c r="A10" s="2" t="s">
        <v>31</v>
      </c>
      <c r="B10" s="4">
        <v>-200</v>
      </c>
      <c r="D10" t="s">
        <v>34</v>
      </c>
      <c r="E10" s="4">
        <v>800</v>
      </c>
    </row>
    <row r="11" spans="1:6" x14ac:dyDescent="0.25">
      <c r="A11" s="3" t="s">
        <v>9</v>
      </c>
      <c r="B11" s="9">
        <f>SUM(B6:B10)</f>
        <v>2800</v>
      </c>
      <c r="C11" s="1" t="str">
        <f ca="1">getformula(B11)</f>
        <v>&lt;--  =SUM(B6:B10)</v>
      </c>
    </row>
    <row r="12" spans="1:6" x14ac:dyDescent="0.25">
      <c r="D12" t="s">
        <v>16</v>
      </c>
      <c r="E12" s="4">
        <v>200</v>
      </c>
    </row>
    <row r="13" spans="1:6" x14ac:dyDescent="0.25">
      <c r="A13" s="3" t="s">
        <v>26</v>
      </c>
      <c r="B13" s="9">
        <v>1950</v>
      </c>
      <c r="D13" t="s">
        <v>15</v>
      </c>
      <c r="E13" s="4">
        <v>100</v>
      </c>
    </row>
    <row r="14" spans="1:6" x14ac:dyDescent="0.25">
      <c r="D14" s="2"/>
    </row>
    <row r="15" spans="1:6" x14ac:dyDescent="0.25">
      <c r="A15" t="s">
        <v>21</v>
      </c>
      <c r="B15" s="9">
        <v>1000</v>
      </c>
      <c r="D15" s="3" t="s">
        <v>4</v>
      </c>
      <c r="E15" s="4">
        <v>4150</v>
      </c>
    </row>
    <row r="17" spans="1:6" ht="40.200000000000003" customHeight="1" x14ac:dyDescent="0.25">
      <c r="A17" s="74" t="s">
        <v>136</v>
      </c>
      <c r="B17" s="75">
        <f>B11+B13+B15+SUM(B3:B4)</f>
        <v>8250</v>
      </c>
      <c r="C17" s="16" t="str">
        <f ca="1">getformula(B17)</f>
        <v>&lt;--  =B11+B13+B15+SUM(B3:B4)</v>
      </c>
      <c r="D17" s="74" t="s">
        <v>137</v>
      </c>
      <c r="E17" s="76">
        <f>E7+E10+SUM(E12:E15)</f>
        <v>8250</v>
      </c>
      <c r="F17" s="16" t="str">
        <f ca="1">getformula(E17)</f>
        <v>&lt;--  =E7+E10+SUM(E12:E15)</v>
      </c>
    </row>
    <row r="18" spans="1:6" x14ac:dyDescent="0.25">
      <c r="D18" s="2"/>
    </row>
  </sheetData>
  <mergeCells count="1">
    <mergeCell ref="A1:F1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workbookViewId="0">
      <selection sqref="A1:F1"/>
    </sheetView>
  </sheetViews>
  <sheetFormatPr defaultRowHeight="13.8" x14ac:dyDescent="0.25"/>
  <cols>
    <col min="1" max="1" width="16.8984375" customWidth="1"/>
    <col min="2" max="2" width="12.296875" style="9" customWidth="1"/>
    <col min="3" max="3" width="14.59765625" customWidth="1"/>
    <col min="4" max="4" width="19.5" customWidth="1"/>
    <col min="5" max="5" width="9.3984375" style="4" bestFit="1" customWidth="1"/>
    <col min="6" max="6" width="25.3984375" bestFit="1" customWidth="1"/>
  </cols>
  <sheetData>
    <row r="1" spans="1:6" ht="17.399999999999999" x14ac:dyDescent="0.3">
      <c r="A1" s="91" t="s">
        <v>45</v>
      </c>
      <c r="B1" s="91"/>
      <c r="C1" s="91"/>
      <c r="D1" s="91"/>
      <c r="E1" s="91"/>
      <c r="F1" s="91"/>
    </row>
    <row r="2" spans="1:6" s="11" customFormat="1" x14ac:dyDescent="0.25">
      <c r="A2" s="11" t="s">
        <v>0</v>
      </c>
      <c r="B2" s="12"/>
      <c r="D2" s="11" t="s">
        <v>1</v>
      </c>
      <c r="E2" s="13"/>
    </row>
    <row r="3" spans="1:6" s="11" customFormat="1" x14ac:dyDescent="0.25">
      <c r="A3" s="8" t="s">
        <v>9</v>
      </c>
      <c r="B3" s="9">
        <v>2800</v>
      </c>
      <c r="D3" s="3" t="s">
        <v>42</v>
      </c>
      <c r="E3" s="4">
        <v>3000</v>
      </c>
      <c r="F3"/>
    </row>
    <row r="4" spans="1:6" s="11" customFormat="1" x14ac:dyDescent="0.25">
      <c r="A4" s="3"/>
      <c r="B4" s="9"/>
      <c r="D4" s="2" t="s">
        <v>44</v>
      </c>
      <c r="E4" s="4">
        <v>-2500</v>
      </c>
      <c r="F4"/>
    </row>
    <row r="5" spans="1:6" s="11" customFormat="1" x14ac:dyDescent="0.25">
      <c r="A5" s="3" t="s">
        <v>26</v>
      </c>
      <c r="B5" s="9">
        <v>1950</v>
      </c>
      <c r="C5"/>
      <c r="D5" s="2" t="s">
        <v>17</v>
      </c>
      <c r="E5" s="4">
        <f>E3+E4</f>
        <v>500</v>
      </c>
      <c r="F5"/>
    </row>
    <row r="6" spans="1:6" s="11" customFormat="1" x14ac:dyDescent="0.25">
      <c r="A6"/>
      <c r="B6" s="9"/>
      <c r="C6"/>
      <c r="D6"/>
      <c r="E6" s="4"/>
      <c r="F6"/>
    </row>
    <row r="7" spans="1:6" x14ac:dyDescent="0.25">
      <c r="A7" t="s">
        <v>21</v>
      </c>
      <c r="B7" s="9">
        <v>1000</v>
      </c>
      <c r="D7" t="s">
        <v>34</v>
      </c>
      <c r="E7" s="4">
        <v>800</v>
      </c>
    </row>
    <row r="9" spans="1:6" x14ac:dyDescent="0.25">
      <c r="A9" s="2"/>
      <c r="B9" s="4"/>
      <c r="D9" t="s">
        <v>16</v>
      </c>
      <c r="E9" s="4">
        <v>200</v>
      </c>
    </row>
    <row r="10" spans="1:6" x14ac:dyDescent="0.25">
      <c r="A10" s="2"/>
      <c r="B10" s="4"/>
      <c r="D10" t="s">
        <v>15</v>
      </c>
      <c r="E10" s="4">
        <v>100</v>
      </c>
    </row>
    <row r="11" spans="1:6" x14ac:dyDescent="0.25">
      <c r="A11" s="2"/>
      <c r="D11" s="2"/>
    </row>
    <row r="12" spans="1:6" x14ac:dyDescent="0.25">
      <c r="D12" s="3" t="s">
        <v>4</v>
      </c>
      <c r="E12" s="4">
        <v>4150</v>
      </c>
    </row>
    <row r="14" spans="1:6" x14ac:dyDescent="0.25">
      <c r="A14" s="11" t="s">
        <v>10</v>
      </c>
      <c r="B14" s="12">
        <f>B3+B5+B7</f>
        <v>5750</v>
      </c>
      <c r="C14" t="str">
        <f ca="1">getformula(B14)</f>
        <v>&lt;--  =B3+B5+B7</v>
      </c>
      <c r="D14" s="11" t="s">
        <v>10</v>
      </c>
      <c r="E14" s="13">
        <f>E5+E7+SUM(E9:E12)</f>
        <v>5750</v>
      </c>
      <c r="F14" t="str">
        <f ca="1">getformula(E14)</f>
        <v>&lt;--  =E5+E7+SUM(E9:E12)</v>
      </c>
    </row>
  </sheetData>
  <mergeCells count="1">
    <mergeCell ref="A1:F1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workbookViewId="0">
      <selection sqref="A1:E1"/>
    </sheetView>
  </sheetViews>
  <sheetFormatPr defaultRowHeight="13.8" x14ac:dyDescent="0.25"/>
  <cols>
    <col min="1" max="1" width="28.5" customWidth="1"/>
    <col min="2" max="2" width="10.8984375" bestFit="1" customWidth="1"/>
    <col min="3" max="3" width="3.5" customWidth="1"/>
    <col min="4" max="4" width="23.5" bestFit="1" customWidth="1"/>
    <col min="5" max="5" width="10.5" bestFit="1" customWidth="1"/>
  </cols>
  <sheetData>
    <row r="1" spans="1:5" ht="37.200000000000003" customHeight="1" x14ac:dyDescent="0.25">
      <c r="A1" s="92" t="s">
        <v>181</v>
      </c>
      <c r="B1" s="93"/>
      <c r="C1" s="93"/>
      <c r="D1" s="93"/>
      <c r="E1" s="93"/>
    </row>
    <row r="2" spans="1:5" x14ac:dyDescent="0.25">
      <c r="A2" t="s">
        <v>7</v>
      </c>
      <c r="D2" t="s">
        <v>8</v>
      </c>
    </row>
    <row r="3" spans="1:5" x14ac:dyDescent="0.25">
      <c r="A3" s="8" t="s">
        <v>138</v>
      </c>
      <c r="B3" s="4">
        <v>3057000</v>
      </c>
      <c r="D3" s="77" t="s">
        <v>22</v>
      </c>
      <c r="E3" s="4">
        <v>16946000</v>
      </c>
    </row>
    <row r="4" spans="1:5" x14ac:dyDescent="0.25">
      <c r="A4" s="8" t="s">
        <v>139</v>
      </c>
      <c r="B4" s="78"/>
      <c r="D4" s="77" t="s">
        <v>140</v>
      </c>
      <c r="E4" s="4">
        <v>9648000</v>
      </c>
    </row>
    <row r="5" spans="1:5" x14ac:dyDescent="0.25">
      <c r="A5" s="8" t="s">
        <v>141</v>
      </c>
      <c r="B5" s="4">
        <v>19533000</v>
      </c>
      <c r="D5" s="77" t="s">
        <v>142</v>
      </c>
      <c r="E5" s="4">
        <v>1967000</v>
      </c>
    </row>
    <row r="6" spans="1:5" x14ac:dyDescent="0.25">
      <c r="A6" s="8" t="s">
        <v>143</v>
      </c>
      <c r="B6" s="4">
        <v>14544000</v>
      </c>
      <c r="D6" t="s">
        <v>144</v>
      </c>
      <c r="E6" s="4">
        <f>SUM(E3:E5)</f>
        <v>28561000</v>
      </c>
    </row>
    <row r="7" spans="1:5" x14ac:dyDescent="0.25">
      <c r="A7" s="8" t="s">
        <v>145</v>
      </c>
      <c r="B7" s="4">
        <v>994000</v>
      </c>
      <c r="E7" s="4"/>
    </row>
    <row r="8" spans="1:5" x14ac:dyDescent="0.25">
      <c r="A8" s="1" t="s">
        <v>146</v>
      </c>
      <c r="B8" s="4">
        <f>SUM(B3:B7)</f>
        <v>38128000</v>
      </c>
      <c r="D8" t="s">
        <v>14</v>
      </c>
      <c r="E8" s="4">
        <v>24944000</v>
      </c>
    </row>
    <row r="9" spans="1:5" x14ac:dyDescent="0.25">
      <c r="A9" s="1"/>
      <c r="D9" t="s">
        <v>147</v>
      </c>
      <c r="E9" s="4">
        <v>14539000</v>
      </c>
    </row>
    <row r="10" spans="1:5" x14ac:dyDescent="0.25">
      <c r="A10" s="1" t="s">
        <v>148</v>
      </c>
      <c r="B10" s="4">
        <v>13211000</v>
      </c>
      <c r="E10" s="4"/>
    </row>
    <row r="11" spans="1:5" ht="27.6" x14ac:dyDescent="0.25">
      <c r="A11" s="1" t="s">
        <v>149</v>
      </c>
      <c r="B11" s="4">
        <v>14395000</v>
      </c>
      <c r="D11" t="s">
        <v>150</v>
      </c>
      <c r="E11" s="4">
        <v>46000</v>
      </c>
    </row>
    <row r="12" spans="1:5" x14ac:dyDescent="0.25">
      <c r="A12" s="1" t="s">
        <v>21</v>
      </c>
      <c r="B12" s="4">
        <v>7080000</v>
      </c>
      <c r="D12" t="s">
        <v>151</v>
      </c>
      <c r="E12" s="4">
        <f>SUM(E6:E11)</f>
        <v>68090000</v>
      </c>
    </row>
    <row r="13" spans="1:5" x14ac:dyDescent="0.25">
      <c r="A13" s="1" t="s">
        <v>152</v>
      </c>
      <c r="B13" s="4">
        <v>4368000</v>
      </c>
      <c r="E13" s="4"/>
    </row>
    <row r="14" spans="1:5" x14ac:dyDescent="0.25">
      <c r="A14" s="1" t="s">
        <v>153</v>
      </c>
      <c r="B14" s="4">
        <v>2107000</v>
      </c>
      <c r="D14" s="79" t="s">
        <v>154</v>
      </c>
      <c r="E14" s="80">
        <v>473000</v>
      </c>
    </row>
    <row r="15" spans="1:5" x14ac:dyDescent="0.25">
      <c r="A15" s="1" t="s">
        <v>155</v>
      </c>
      <c r="B15" s="4">
        <v>2157000</v>
      </c>
      <c r="D15" t="s">
        <v>156</v>
      </c>
      <c r="E15" s="4">
        <v>4273000</v>
      </c>
    </row>
    <row r="16" spans="1:5" x14ac:dyDescent="0.25">
      <c r="A16" s="1"/>
      <c r="D16" t="s">
        <v>5</v>
      </c>
      <c r="E16" s="4">
        <v>25219000</v>
      </c>
    </row>
    <row r="17" spans="1:5" x14ac:dyDescent="0.25">
      <c r="A17" s="1"/>
      <c r="D17" t="s">
        <v>157</v>
      </c>
      <c r="E17" s="4">
        <v>-10281000</v>
      </c>
    </row>
    <row r="18" spans="1:5" x14ac:dyDescent="0.25">
      <c r="A18" s="1"/>
      <c r="D18" t="s">
        <v>158</v>
      </c>
      <c r="E18" s="4">
        <v>-6328000</v>
      </c>
    </row>
    <row r="19" spans="1:5" x14ac:dyDescent="0.25">
      <c r="A19" s="1"/>
      <c r="D19" t="s">
        <v>159</v>
      </c>
      <c r="E19" s="4">
        <f>SUM(E14:E18)</f>
        <v>13356000</v>
      </c>
    </row>
    <row r="20" spans="1:5" s="11" customFormat="1" x14ac:dyDescent="0.25">
      <c r="A20" s="5" t="s">
        <v>3</v>
      </c>
      <c r="B20" s="13">
        <f>SUM(B8:B15)</f>
        <v>81446000</v>
      </c>
      <c r="D20" s="11" t="s">
        <v>160</v>
      </c>
      <c r="E20" s="13">
        <f>E12+E19</f>
        <v>81446000</v>
      </c>
    </row>
  </sheetData>
  <mergeCells count="1">
    <mergeCell ref="A1:E1"/>
  </mergeCells>
  <printOptions gridLines="1"/>
  <pageMargins left="0.7" right="0.7" top="0.75" bottom="0.75" header="0.3" footer="0.3"/>
  <pageSetup paperSize="9" orientation="portrait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"/>
  <sheetViews>
    <sheetView workbookViewId="0">
      <selection sqref="A1:F1"/>
    </sheetView>
  </sheetViews>
  <sheetFormatPr defaultRowHeight="13.8" x14ac:dyDescent="0.25"/>
  <cols>
    <col min="1" max="1" width="28.5" customWidth="1"/>
    <col min="2" max="2" width="10.5" bestFit="1" customWidth="1"/>
    <col min="3" max="3" width="15.19921875" customWidth="1"/>
    <col min="4" max="4" width="22.09765625" bestFit="1" customWidth="1"/>
    <col min="5" max="5" width="10.5" bestFit="1" customWidth="1"/>
    <col min="6" max="6" width="17.8984375" style="1" customWidth="1"/>
  </cols>
  <sheetData>
    <row r="1" spans="1:6" ht="37.200000000000003" customHeight="1" x14ac:dyDescent="0.25">
      <c r="A1" s="92" t="s">
        <v>161</v>
      </c>
      <c r="B1" s="93"/>
      <c r="C1" s="93"/>
      <c r="D1" s="93"/>
      <c r="E1" s="93"/>
      <c r="F1" s="93"/>
    </row>
    <row r="2" spans="1:6" ht="69" x14ac:dyDescent="0.25">
      <c r="A2" s="81" t="s">
        <v>9</v>
      </c>
      <c r="B2" s="15">
        <f>19533000+14544000+994000-16946000-1967000</f>
        <v>16158000</v>
      </c>
      <c r="C2" s="16" t="str">
        <f ca="1">getformula(B2)</f>
        <v>&lt;--  =19533000+14544000+994000-16946000-1967000</v>
      </c>
      <c r="D2" s="82" t="s">
        <v>162</v>
      </c>
      <c r="E2" s="15">
        <f>9648000+24944000-3057000</f>
        <v>31535000</v>
      </c>
      <c r="F2" s="16" t="str">
        <f ca="1">getformula(E2)</f>
        <v>&lt;--  =9648000+24944000-3057000</v>
      </c>
    </row>
    <row r="3" spans="1:6" x14ac:dyDescent="0.25">
      <c r="A3" t="s">
        <v>148</v>
      </c>
      <c r="B3" s="4">
        <v>13211000</v>
      </c>
      <c r="C3" s="1"/>
      <c r="D3" t="s">
        <v>147</v>
      </c>
      <c r="E3" s="4">
        <v>14539000</v>
      </c>
    </row>
    <row r="4" spans="1:6" x14ac:dyDescent="0.25">
      <c r="A4" t="s">
        <v>163</v>
      </c>
      <c r="B4" s="4">
        <v>14395000</v>
      </c>
      <c r="C4" s="1"/>
      <c r="E4" s="4"/>
    </row>
    <row r="5" spans="1:6" x14ac:dyDescent="0.25">
      <c r="A5" t="s">
        <v>21</v>
      </c>
      <c r="B5" s="4">
        <v>7080000</v>
      </c>
      <c r="C5" s="1"/>
      <c r="D5" t="s">
        <v>150</v>
      </c>
      <c r="E5" s="4">
        <v>46000</v>
      </c>
    </row>
    <row r="6" spans="1:6" x14ac:dyDescent="0.25">
      <c r="A6" t="s">
        <v>152</v>
      </c>
      <c r="B6" s="4">
        <v>4368000</v>
      </c>
      <c r="C6" s="1"/>
      <c r="E6" s="4"/>
    </row>
    <row r="7" spans="1:6" ht="13.8" customHeight="1" x14ac:dyDescent="0.25">
      <c r="A7" t="s">
        <v>153</v>
      </c>
      <c r="B7" s="4">
        <v>2107000</v>
      </c>
      <c r="C7" s="1"/>
      <c r="D7" t="s">
        <v>4</v>
      </c>
      <c r="E7" s="4">
        <v>13356000</v>
      </c>
      <c r="F7" s="83"/>
    </row>
    <row r="8" spans="1:6" x14ac:dyDescent="0.25">
      <c r="A8" t="s">
        <v>155</v>
      </c>
      <c r="B8" s="4">
        <v>2157000</v>
      </c>
      <c r="C8" s="1"/>
    </row>
    <row r="9" spans="1:6" ht="13.8" customHeight="1" x14ac:dyDescent="0.25">
      <c r="A9" s="11" t="s">
        <v>10</v>
      </c>
      <c r="B9" s="13">
        <f>SUM(B2:B8)</f>
        <v>59476000</v>
      </c>
      <c r="C9" s="1" t="str">
        <f ca="1">getformula(B9)</f>
        <v>&lt;--  =SUM(B2:B8)</v>
      </c>
      <c r="D9" s="11" t="s">
        <v>10</v>
      </c>
      <c r="E9" s="13">
        <f>SUM(E2:E7)</f>
        <v>59476000</v>
      </c>
      <c r="F9" s="1" t="str">
        <f ca="1">getformula(E9)</f>
        <v>&lt;--  =SUM(E2:E7)</v>
      </c>
    </row>
    <row r="11" spans="1:6" x14ac:dyDescent="0.25">
      <c r="E11" s="4"/>
    </row>
    <row r="12" spans="1:6" x14ac:dyDescent="0.25">
      <c r="D12" s="79"/>
      <c r="E12" s="80"/>
    </row>
    <row r="14" spans="1:6" x14ac:dyDescent="0.25">
      <c r="A14" s="8"/>
      <c r="B14" s="4"/>
      <c r="D14" s="77"/>
      <c r="E14" s="4"/>
    </row>
    <row r="15" spans="1:6" x14ac:dyDescent="0.25">
      <c r="A15" s="8"/>
      <c r="B15" s="78"/>
      <c r="D15" s="77"/>
      <c r="E15" s="4"/>
    </row>
    <row r="16" spans="1:6" x14ac:dyDescent="0.25">
      <c r="A16" s="8"/>
      <c r="B16" s="4"/>
      <c r="D16" s="77"/>
      <c r="E16" s="4"/>
    </row>
    <row r="17" spans="1:5" x14ac:dyDescent="0.25">
      <c r="A17" s="8"/>
      <c r="B17" s="4"/>
      <c r="E17" s="4"/>
    </row>
    <row r="18" spans="1:5" x14ac:dyDescent="0.25">
      <c r="A18" s="8"/>
      <c r="B18" s="4"/>
      <c r="E18" s="4"/>
    </row>
    <row r="19" spans="1:5" x14ac:dyDescent="0.25">
      <c r="A19" s="1"/>
      <c r="B19" s="4"/>
      <c r="E19" s="4"/>
    </row>
    <row r="20" spans="1:5" x14ac:dyDescent="0.25">
      <c r="A20" s="1"/>
      <c r="E20" s="4"/>
    </row>
    <row r="21" spans="1:5" x14ac:dyDescent="0.25">
      <c r="A21" s="1"/>
      <c r="B21" s="4"/>
      <c r="E21" s="4"/>
    </row>
    <row r="22" spans="1:5" x14ac:dyDescent="0.25">
      <c r="A22" s="1"/>
      <c r="B22" s="4"/>
      <c r="E22" s="4"/>
    </row>
    <row r="23" spans="1:5" x14ac:dyDescent="0.25">
      <c r="A23" s="1"/>
      <c r="B23" s="4"/>
      <c r="E23" s="4"/>
    </row>
    <row r="24" spans="1:5" x14ac:dyDescent="0.25">
      <c r="A24" s="1"/>
      <c r="B24" s="4"/>
      <c r="E24" s="4"/>
    </row>
    <row r="25" spans="1:5" x14ac:dyDescent="0.25">
      <c r="A25" s="1"/>
      <c r="B25" s="4"/>
      <c r="D25" s="79"/>
      <c r="E25" s="80"/>
    </row>
    <row r="26" spans="1:5" x14ac:dyDescent="0.25">
      <c r="A26" s="1"/>
      <c r="B26" s="4"/>
      <c r="E26" s="4"/>
    </row>
    <row r="27" spans="1:5" x14ac:dyDescent="0.25">
      <c r="A27" s="1"/>
      <c r="E27" s="4"/>
    </row>
    <row r="28" spans="1:5" x14ac:dyDescent="0.25">
      <c r="A28" s="1"/>
      <c r="E28" s="4"/>
    </row>
    <row r="29" spans="1:5" x14ac:dyDescent="0.25">
      <c r="A29" s="1"/>
      <c r="E29" s="4"/>
    </row>
    <row r="30" spans="1:5" x14ac:dyDescent="0.25">
      <c r="A30" s="1"/>
      <c r="E30" s="4"/>
    </row>
    <row r="31" spans="1:5" x14ac:dyDescent="0.25">
      <c r="A31" s="1"/>
      <c r="E31" s="4"/>
    </row>
    <row r="32" spans="1:5" x14ac:dyDescent="0.25">
      <c r="A32" s="1"/>
      <c r="B32" s="4"/>
      <c r="E32" s="4"/>
    </row>
  </sheetData>
  <mergeCells count="1">
    <mergeCell ref="A1:F1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3"/>
  <sheetViews>
    <sheetView workbookViewId="0">
      <selection sqref="A1:F1"/>
    </sheetView>
  </sheetViews>
  <sheetFormatPr defaultRowHeight="13.8" x14ac:dyDescent="0.25"/>
  <cols>
    <col min="1" max="1" width="28.5" customWidth="1"/>
    <col min="2" max="2" width="10.5" bestFit="1" customWidth="1"/>
    <col min="3" max="3" width="15.19921875" customWidth="1"/>
    <col min="4" max="4" width="22.09765625" bestFit="1" customWidth="1"/>
    <col min="5" max="5" width="13.5" bestFit="1" customWidth="1"/>
    <col min="6" max="6" width="17.8984375" style="1" customWidth="1"/>
  </cols>
  <sheetData>
    <row r="1" spans="1:6" ht="36.6" customHeight="1" x14ac:dyDescent="0.25">
      <c r="A1" s="92" t="s">
        <v>164</v>
      </c>
      <c r="B1" s="93"/>
      <c r="C1" s="93"/>
      <c r="D1" s="93"/>
      <c r="E1" s="93"/>
      <c r="F1" s="93"/>
    </row>
    <row r="2" spans="1:6" ht="69" x14ac:dyDescent="0.25">
      <c r="A2" s="81" t="s">
        <v>9</v>
      </c>
      <c r="B2" s="15">
        <f>19533000+14544000+994000-16946000-1967000</f>
        <v>16158000</v>
      </c>
      <c r="C2" s="16" t="str">
        <f ca="1">getformula(B2)</f>
        <v>&lt;--  =19533000+14544000+994000-16946000-1967000</v>
      </c>
      <c r="D2" s="82" t="s">
        <v>162</v>
      </c>
      <c r="E2" s="15">
        <f>9648000+24944000-3057000</f>
        <v>31535000</v>
      </c>
      <c r="F2" s="16" t="str">
        <f ca="1">getformula(E2)</f>
        <v>&lt;--  =9648000+24944000-3057000</v>
      </c>
    </row>
    <row r="3" spans="1:6" x14ac:dyDescent="0.25">
      <c r="A3" t="s">
        <v>148</v>
      </c>
      <c r="B3" s="4">
        <v>13211000</v>
      </c>
      <c r="C3" s="1"/>
      <c r="D3" t="s">
        <v>147</v>
      </c>
      <c r="E3" s="4">
        <v>14539000</v>
      </c>
    </row>
    <row r="4" spans="1:6" x14ac:dyDescent="0.25">
      <c r="A4" t="s">
        <v>163</v>
      </c>
      <c r="B4" s="4">
        <v>14395000</v>
      </c>
      <c r="C4" s="1"/>
      <c r="E4" s="4"/>
    </row>
    <row r="5" spans="1:6" x14ac:dyDescent="0.25">
      <c r="A5" t="s">
        <v>21</v>
      </c>
      <c r="B5" s="4">
        <v>7080000</v>
      </c>
      <c r="C5" s="1"/>
      <c r="D5" t="s">
        <v>150</v>
      </c>
      <c r="E5" s="4">
        <v>46000</v>
      </c>
    </row>
    <row r="6" spans="1:6" x14ac:dyDescent="0.25">
      <c r="A6" t="s">
        <v>152</v>
      </c>
      <c r="B6" s="4">
        <v>4368000</v>
      </c>
      <c r="C6" s="1"/>
      <c r="E6" s="4"/>
    </row>
    <row r="7" spans="1:6" x14ac:dyDescent="0.25">
      <c r="A7" t="s">
        <v>153</v>
      </c>
      <c r="B7" s="4">
        <v>2107000</v>
      </c>
      <c r="C7" s="1"/>
      <c r="D7" t="s">
        <v>4</v>
      </c>
      <c r="E7" s="4">
        <f>'Page 58, bottom'!B4</f>
        <v>56599878.341399997</v>
      </c>
      <c r="F7" s="83" t="s">
        <v>177</v>
      </c>
    </row>
    <row r="8" spans="1:6" x14ac:dyDescent="0.25">
      <c r="A8" t="s">
        <v>155</v>
      </c>
      <c r="B8" s="4">
        <v>2157000</v>
      </c>
      <c r="C8" s="1"/>
    </row>
    <row r="9" spans="1:6" x14ac:dyDescent="0.25">
      <c r="C9" s="1"/>
    </row>
    <row r="10" spans="1:6" ht="27.6" x14ac:dyDescent="0.25">
      <c r="A10" s="11" t="s">
        <v>10</v>
      </c>
      <c r="B10" s="13">
        <f>SUM(B2:B8)</f>
        <v>59476000</v>
      </c>
      <c r="C10" s="1" t="str">
        <f ca="1">getformula(B10)</f>
        <v>&lt;--  =SUM(B2:B8)</v>
      </c>
      <c r="D10" s="11" t="s">
        <v>10</v>
      </c>
      <c r="E10" s="13">
        <f>SUM(E2:E7)</f>
        <v>102719878.3414</v>
      </c>
      <c r="F10" s="1" t="str">
        <f ca="1">getformula(E10)</f>
        <v>&lt;--  =SUM(E2:E7)</v>
      </c>
    </row>
    <row r="12" spans="1:6" x14ac:dyDescent="0.25">
      <c r="E12" s="4"/>
    </row>
    <row r="13" spans="1:6" x14ac:dyDescent="0.25">
      <c r="D13" s="79"/>
      <c r="E13" s="80"/>
    </row>
    <row r="15" spans="1:6" x14ac:dyDescent="0.25">
      <c r="A15" s="8"/>
      <c r="B15" s="4"/>
      <c r="D15" s="77"/>
      <c r="E15" s="4"/>
    </row>
    <row r="16" spans="1:6" x14ac:dyDescent="0.25">
      <c r="A16" s="8"/>
      <c r="B16" s="78"/>
      <c r="D16" s="77"/>
      <c r="E16" s="4"/>
    </row>
    <row r="17" spans="1:5" x14ac:dyDescent="0.25">
      <c r="A17" s="8"/>
      <c r="B17" s="4"/>
      <c r="D17" s="77"/>
      <c r="E17" s="4"/>
    </row>
    <row r="18" spans="1:5" x14ac:dyDescent="0.25">
      <c r="A18" s="8"/>
      <c r="B18" s="4"/>
      <c r="E18" s="4"/>
    </row>
    <row r="19" spans="1:5" x14ac:dyDescent="0.25">
      <c r="A19" s="8"/>
      <c r="B19" s="4"/>
      <c r="E19" s="4"/>
    </row>
    <row r="20" spans="1:5" x14ac:dyDescent="0.25">
      <c r="A20" s="1"/>
      <c r="B20" s="4"/>
      <c r="E20" s="4"/>
    </row>
    <row r="21" spans="1:5" x14ac:dyDescent="0.25">
      <c r="A21" s="1"/>
      <c r="E21" s="4"/>
    </row>
    <row r="22" spans="1:5" x14ac:dyDescent="0.25">
      <c r="A22" s="1"/>
      <c r="B22" s="4"/>
      <c r="E22" s="4"/>
    </row>
    <row r="23" spans="1:5" x14ac:dyDescent="0.25">
      <c r="A23" s="1"/>
      <c r="B23" s="4"/>
      <c r="E23" s="4"/>
    </row>
    <row r="24" spans="1:5" x14ac:dyDescent="0.25">
      <c r="A24" s="1"/>
      <c r="B24" s="4"/>
      <c r="E24" s="4"/>
    </row>
    <row r="25" spans="1:5" x14ac:dyDescent="0.25">
      <c r="A25" s="1"/>
      <c r="B25" s="4"/>
      <c r="E25" s="4"/>
    </row>
    <row r="26" spans="1:5" x14ac:dyDescent="0.25">
      <c r="A26" s="1"/>
      <c r="B26" s="4"/>
      <c r="D26" s="79"/>
      <c r="E26" s="80"/>
    </row>
    <row r="27" spans="1:5" x14ac:dyDescent="0.25">
      <c r="A27" s="1"/>
      <c r="B27" s="4"/>
      <c r="E27" s="4"/>
    </row>
    <row r="28" spans="1:5" x14ac:dyDescent="0.25">
      <c r="A28" s="1"/>
      <c r="E28" s="4"/>
    </row>
    <row r="29" spans="1:5" x14ac:dyDescent="0.25">
      <c r="A29" s="1"/>
      <c r="E29" s="4"/>
    </row>
    <row r="30" spans="1:5" x14ac:dyDescent="0.25">
      <c r="A30" s="1"/>
      <c r="E30" s="4"/>
    </row>
    <row r="31" spans="1:5" x14ac:dyDescent="0.25">
      <c r="A31" s="1"/>
      <c r="E31" s="4"/>
    </row>
    <row r="32" spans="1:5" x14ac:dyDescent="0.25">
      <c r="A32" s="1"/>
      <c r="E32" s="4"/>
    </row>
    <row r="33" spans="1:5" x14ac:dyDescent="0.25">
      <c r="A33" s="1"/>
      <c r="B33" s="4"/>
      <c r="E33" s="4"/>
    </row>
  </sheetData>
  <mergeCells count="1">
    <mergeCell ref="A1:F1"/>
  </mergeCells>
  <printOptions headings="1" gridLines="1"/>
  <pageMargins left="0.7" right="0.7" top="0.75" bottom="0.75" header="0.3" footer="0.3"/>
  <pageSetup paperSize="9" orientation="portrait" verticalDpi="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1"/>
  <sheetViews>
    <sheetView workbookViewId="0">
      <selection sqref="A1:C1"/>
    </sheetView>
  </sheetViews>
  <sheetFormatPr defaultRowHeight="13.8" x14ac:dyDescent="0.25"/>
  <cols>
    <col min="1" max="1" width="44.5" customWidth="1"/>
    <col min="2" max="2" width="10.8984375" bestFit="1" customWidth="1"/>
    <col min="3" max="3" width="23.296875" style="1" customWidth="1"/>
  </cols>
  <sheetData>
    <row r="1" spans="1:3" ht="63" customHeight="1" x14ac:dyDescent="0.25">
      <c r="A1" s="92" t="s">
        <v>165</v>
      </c>
      <c r="B1" s="93"/>
      <c r="C1" s="93"/>
    </row>
    <row r="2" spans="1:3" x14ac:dyDescent="0.25">
      <c r="A2" t="s">
        <v>166</v>
      </c>
      <c r="B2" s="84">
        <f>624722719/1000</f>
        <v>624722.71900000004</v>
      </c>
      <c r="C2" s="1" t="s">
        <v>176</v>
      </c>
    </row>
    <row r="3" spans="1:3" x14ac:dyDescent="0.25">
      <c r="A3" t="s">
        <v>167</v>
      </c>
      <c r="B3" s="84">
        <v>90.6</v>
      </c>
      <c r="C3" s="1" t="s">
        <v>168</v>
      </c>
    </row>
    <row r="4" spans="1:3" x14ac:dyDescent="0.25">
      <c r="A4" t="s">
        <v>169</v>
      </c>
      <c r="B4" s="85">
        <f>B2*B3</f>
        <v>56599878.341399997</v>
      </c>
      <c r="C4" s="1" t="str">
        <f ca="1">getformula(B4)&amp;", thousand $"</f>
        <v>&lt;--  =B2*B3, thousand $</v>
      </c>
    </row>
    <row r="6" spans="1:3" x14ac:dyDescent="0.25">
      <c r="A6" t="s">
        <v>138</v>
      </c>
      <c r="B6" s="4">
        <f>'Page 57'!B3</f>
        <v>3057000</v>
      </c>
    </row>
    <row r="7" spans="1:3" x14ac:dyDescent="0.25">
      <c r="A7" s="8" t="s">
        <v>170</v>
      </c>
      <c r="B7" s="4">
        <f>'Page 57'!E4</f>
        <v>9648000</v>
      </c>
    </row>
    <row r="8" spans="1:3" x14ac:dyDescent="0.25">
      <c r="A8" t="s">
        <v>14</v>
      </c>
      <c r="B8" s="4">
        <f>'Page 57'!E8</f>
        <v>24944000</v>
      </c>
    </row>
    <row r="9" spans="1:3" x14ac:dyDescent="0.25">
      <c r="A9" t="s">
        <v>17</v>
      </c>
      <c r="B9" s="85">
        <f>SUM(B7:B8)-B6</f>
        <v>31535000</v>
      </c>
      <c r="C9" s="1" t="str">
        <f ca="1">getformula(B9)</f>
        <v>&lt;--  =SUM(B7:B8)-B6</v>
      </c>
    </row>
    <row r="10" spans="1:3" x14ac:dyDescent="0.25">
      <c r="B10" s="80"/>
    </row>
    <row r="11" spans="1:3" x14ac:dyDescent="0.25">
      <c r="A11" t="s">
        <v>147</v>
      </c>
      <c r="B11" s="85">
        <f>'Page 58, top'!E3</f>
        <v>14539000</v>
      </c>
    </row>
    <row r="12" spans="1:3" x14ac:dyDescent="0.25">
      <c r="B12" s="4"/>
    </row>
    <row r="13" spans="1:3" x14ac:dyDescent="0.25">
      <c r="A13" t="s">
        <v>15</v>
      </c>
      <c r="B13" s="85">
        <f>'Page 57'!E11</f>
        <v>46000</v>
      </c>
    </row>
    <row r="14" spans="1:3" x14ac:dyDescent="0.25">
      <c r="A14" t="s">
        <v>16</v>
      </c>
      <c r="B14" s="85">
        <v>0</v>
      </c>
    </row>
    <row r="16" spans="1:3" ht="27.6" customHeight="1" x14ac:dyDescent="0.25">
      <c r="A16" s="74" t="s">
        <v>171</v>
      </c>
      <c r="B16" s="86">
        <f>SUM(B4,B9,B11,B13)</f>
        <v>102719878.3414</v>
      </c>
      <c r="C16" s="16" t="str">
        <f ca="1">getformula(B16)</f>
        <v>&lt;--  =SUM(B4,B9,B11,B13)</v>
      </c>
    </row>
    <row r="18" spans="1:3" x14ac:dyDescent="0.25">
      <c r="A18" t="s">
        <v>172</v>
      </c>
    </row>
    <row r="19" spans="1:3" x14ac:dyDescent="0.25">
      <c r="A19" s="2" t="s">
        <v>173</v>
      </c>
      <c r="B19" s="4">
        <v>814894624</v>
      </c>
    </row>
    <row r="20" spans="1:3" x14ac:dyDescent="0.25">
      <c r="A20" s="2" t="s">
        <v>174</v>
      </c>
      <c r="B20" s="4">
        <v>190171905</v>
      </c>
    </row>
    <row r="21" spans="1:3" x14ac:dyDescent="0.25">
      <c r="A21" t="s">
        <v>175</v>
      </c>
      <c r="B21" s="4">
        <f>B19-B20</f>
        <v>624722719</v>
      </c>
      <c r="C21" s="1" t="str">
        <f ca="1">getformula(B21)</f>
        <v>&lt;--  =B19-B20</v>
      </c>
    </row>
  </sheetData>
  <mergeCells count="1">
    <mergeCell ref="A1:C1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3"/>
  <sheetViews>
    <sheetView workbookViewId="0">
      <selection sqref="A1:F1"/>
    </sheetView>
  </sheetViews>
  <sheetFormatPr defaultRowHeight="13.8" x14ac:dyDescent="0.25"/>
  <cols>
    <col min="1" max="1" width="28.5" customWidth="1"/>
    <col min="2" max="2" width="13.5" bestFit="1" customWidth="1"/>
    <col min="3" max="3" width="15.19921875" customWidth="1"/>
    <col min="4" max="4" width="22.09765625" bestFit="1" customWidth="1"/>
    <col min="5" max="5" width="13.5" bestFit="1" customWidth="1"/>
    <col min="6" max="6" width="17.8984375" style="1" customWidth="1"/>
  </cols>
  <sheetData>
    <row r="1" spans="1:6" ht="64.8" customHeight="1" x14ac:dyDescent="0.25">
      <c r="A1" s="92" t="s">
        <v>182</v>
      </c>
      <c r="B1" s="93"/>
      <c r="C1" s="93"/>
      <c r="D1" s="93"/>
      <c r="E1" s="93"/>
      <c r="F1" s="93"/>
    </row>
    <row r="2" spans="1:6" ht="69" x14ac:dyDescent="0.25">
      <c r="A2" s="81" t="s">
        <v>9</v>
      </c>
      <c r="B2" s="15">
        <f>19533000+14544000+994000-16946000-1967000</f>
        <v>16158000</v>
      </c>
      <c r="C2" s="16" t="str">
        <f ca="1">getformula(B2)</f>
        <v>&lt;--  =19533000+14544000+994000-16946000-1967000</v>
      </c>
      <c r="D2" s="82" t="s">
        <v>162</v>
      </c>
      <c r="E2" s="15">
        <f>9648000+24944000-3057000</f>
        <v>31535000</v>
      </c>
      <c r="F2" s="16" t="str">
        <f ca="1">getformula(E2)</f>
        <v>&lt;--  =9648000+24944000-3057000</v>
      </c>
    </row>
    <row r="3" spans="1:6" x14ac:dyDescent="0.25">
      <c r="A3" t="s">
        <v>148</v>
      </c>
      <c r="B3" s="94">
        <f>E10-B2</f>
        <v>86561878.341399997</v>
      </c>
      <c r="C3" s="95" t="str">
        <f ca="1">getformula(B3)</f>
        <v>&lt;--  =E10-B2</v>
      </c>
      <c r="D3" t="s">
        <v>147</v>
      </c>
      <c r="E3" s="4">
        <v>14539000</v>
      </c>
    </row>
    <row r="4" spans="1:6" x14ac:dyDescent="0.25">
      <c r="A4" t="s">
        <v>163</v>
      </c>
      <c r="B4" s="94"/>
      <c r="C4" s="95"/>
      <c r="E4" s="4"/>
    </row>
    <row r="5" spans="1:6" x14ac:dyDescent="0.25">
      <c r="A5" t="s">
        <v>21</v>
      </c>
      <c r="B5" s="94"/>
      <c r="C5" s="95"/>
      <c r="D5" t="s">
        <v>150</v>
      </c>
      <c r="E5" s="4">
        <f>'Page 58, bottom'!B13</f>
        <v>46000</v>
      </c>
    </row>
    <row r="6" spans="1:6" x14ac:dyDescent="0.25">
      <c r="A6" t="s">
        <v>152</v>
      </c>
      <c r="B6" s="94"/>
      <c r="C6" s="95"/>
      <c r="E6" s="4"/>
    </row>
    <row r="7" spans="1:6" x14ac:dyDescent="0.25">
      <c r="A7" t="s">
        <v>153</v>
      </c>
      <c r="B7" s="94"/>
      <c r="C7" s="95"/>
      <c r="D7" t="s">
        <v>4</v>
      </c>
      <c r="E7" s="4">
        <f>'Page 58, bottom'!B4</f>
        <v>56599878.341399997</v>
      </c>
      <c r="F7" s="83" t="s">
        <v>177</v>
      </c>
    </row>
    <row r="8" spans="1:6" x14ac:dyDescent="0.25">
      <c r="A8" t="s">
        <v>155</v>
      </c>
      <c r="B8" s="94"/>
      <c r="C8" s="95"/>
    </row>
    <row r="9" spans="1:6" x14ac:dyDescent="0.25">
      <c r="C9" s="1"/>
    </row>
    <row r="10" spans="1:6" ht="16.8" customHeight="1" x14ac:dyDescent="0.25">
      <c r="A10" s="11" t="s">
        <v>10</v>
      </c>
      <c r="B10" s="13">
        <f>SUM(B2:B8)</f>
        <v>102719878.3414</v>
      </c>
      <c r="C10" s="1" t="str">
        <f ca="1">getformula(B10)</f>
        <v>&lt;--  =SUM(B2:B8)</v>
      </c>
      <c r="D10" s="11" t="s">
        <v>10</v>
      </c>
      <c r="E10" s="13">
        <f>SUM(E2:E7)</f>
        <v>102719878.3414</v>
      </c>
      <c r="F10" s="1" t="str">
        <f ca="1">getformula(E10)</f>
        <v>&lt;--  =SUM(E2:E7)</v>
      </c>
    </row>
    <row r="12" spans="1:6" x14ac:dyDescent="0.25">
      <c r="E12" s="4"/>
    </row>
    <row r="13" spans="1:6" x14ac:dyDescent="0.25">
      <c r="D13" s="79"/>
      <c r="E13" s="80"/>
    </row>
    <row r="15" spans="1:6" x14ac:dyDescent="0.25">
      <c r="A15" s="8"/>
      <c r="B15" s="4"/>
      <c r="D15" s="77"/>
      <c r="E15" s="4"/>
    </row>
    <row r="16" spans="1:6" x14ac:dyDescent="0.25">
      <c r="A16" s="8"/>
      <c r="B16" s="78"/>
      <c r="D16" s="77"/>
      <c r="E16" s="4"/>
    </row>
    <row r="17" spans="1:5" x14ac:dyDescent="0.25">
      <c r="A17" s="8"/>
      <c r="B17" s="4"/>
      <c r="D17" s="77"/>
      <c r="E17" s="4"/>
    </row>
    <row r="18" spans="1:5" x14ac:dyDescent="0.25">
      <c r="A18" s="8"/>
      <c r="B18" s="4"/>
      <c r="E18" s="4"/>
    </row>
    <row r="19" spans="1:5" x14ac:dyDescent="0.25">
      <c r="A19" s="8"/>
      <c r="B19" s="4"/>
      <c r="E19" s="4"/>
    </row>
    <row r="20" spans="1:5" x14ac:dyDescent="0.25">
      <c r="A20" s="1"/>
      <c r="B20" s="4"/>
      <c r="E20" s="4"/>
    </row>
    <row r="21" spans="1:5" x14ac:dyDescent="0.25">
      <c r="A21" s="1"/>
      <c r="E21" s="4"/>
    </row>
    <row r="22" spans="1:5" x14ac:dyDescent="0.25">
      <c r="A22" s="1"/>
      <c r="B22" s="4"/>
      <c r="E22" s="4"/>
    </row>
    <row r="23" spans="1:5" x14ac:dyDescent="0.25">
      <c r="A23" s="1"/>
      <c r="B23" s="4"/>
      <c r="E23" s="4"/>
    </row>
    <row r="24" spans="1:5" x14ac:dyDescent="0.25">
      <c r="A24" s="1"/>
      <c r="B24" s="4"/>
      <c r="E24" s="4"/>
    </row>
    <row r="25" spans="1:5" x14ac:dyDescent="0.25">
      <c r="A25" s="1"/>
      <c r="B25" s="4"/>
      <c r="E25" s="4"/>
    </row>
    <row r="26" spans="1:5" x14ac:dyDescent="0.25">
      <c r="A26" s="1"/>
      <c r="B26" s="4"/>
      <c r="D26" s="79"/>
      <c r="E26" s="80"/>
    </row>
    <row r="27" spans="1:5" x14ac:dyDescent="0.25">
      <c r="A27" s="1"/>
      <c r="B27" s="4"/>
      <c r="E27" s="4"/>
    </row>
    <row r="28" spans="1:5" x14ac:dyDescent="0.25">
      <c r="A28" s="1"/>
      <c r="E28" s="4"/>
    </row>
    <row r="29" spans="1:5" x14ac:dyDescent="0.25">
      <c r="A29" s="1"/>
      <c r="E29" s="4"/>
    </row>
    <row r="30" spans="1:5" x14ac:dyDescent="0.25">
      <c r="A30" s="1"/>
      <c r="E30" s="4"/>
    </row>
    <row r="31" spans="1:5" x14ac:dyDescent="0.25">
      <c r="A31" s="1"/>
      <c r="E31" s="4"/>
    </row>
    <row r="32" spans="1:5" x14ac:dyDescent="0.25">
      <c r="A32" s="1"/>
      <c r="E32" s="4"/>
    </row>
    <row r="33" spans="1:5" x14ac:dyDescent="0.25">
      <c r="A33" s="1"/>
      <c r="B33" s="4"/>
      <c r="E33" s="4"/>
    </row>
  </sheetData>
  <mergeCells count="3">
    <mergeCell ref="A1:F1"/>
    <mergeCell ref="B3:B8"/>
    <mergeCell ref="C3:C8"/>
  </mergeCells>
  <printOptions headings="1" gridLines="1"/>
  <pageMargins left="0.7" right="0.7" top="0.75" bottom="0.75" header="0.3" footer="0.3"/>
  <pageSetup paperSize="9" orientation="portrait" verticalDpi="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5"/>
  <sheetViews>
    <sheetView zoomScale="110" zoomScaleNormal="110" workbookViewId="0">
      <selection sqref="A1:G1"/>
    </sheetView>
  </sheetViews>
  <sheetFormatPr defaultRowHeight="13.2" x14ac:dyDescent="0.25"/>
  <cols>
    <col min="1" max="1" width="38.296875" style="40" customWidth="1"/>
    <col min="2" max="4" width="11.69921875" style="31" customWidth="1"/>
    <col min="5" max="6" width="9.796875" style="31" bestFit="1" customWidth="1"/>
    <col min="7" max="7" width="16" style="31" bestFit="1" customWidth="1"/>
    <col min="8" max="256" width="8.796875" style="31"/>
    <col min="257" max="257" width="58.796875" style="31" customWidth="1"/>
    <col min="258" max="260" width="11.69921875" style="31" customWidth="1"/>
    <col min="261" max="262" width="9.796875" style="31" bestFit="1" customWidth="1"/>
    <col min="263" max="263" width="13.59765625" style="31" bestFit="1" customWidth="1"/>
    <col min="264" max="512" width="8.796875" style="31"/>
    <col min="513" max="513" width="58.796875" style="31" customWidth="1"/>
    <col min="514" max="516" width="11.69921875" style="31" customWidth="1"/>
    <col min="517" max="518" width="9.796875" style="31" bestFit="1" customWidth="1"/>
    <col min="519" max="519" width="13.59765625" style="31" bestFit="1" customWidth="1"/>
    <col min="520" max="768" width="8.796875" style="31"/>
    <col min="769" max="769" width="58.796875" style="31" customWidth="1"/>
    <col min="770" max="772" width="11.69921875" style="31" customWidth="1"/>
    <col min="773" max="774" width="9.796875" style="31" bestFit="1" customWidth="1"/>
    <col min="775" max="775" width="13.59765625" style="31" bestFit="1" customWidth="1"/>
    <col min="776" max="1024" width="8.796875" style="31"/>
    <col min="1025" max="1025" width="58.796875" style="31" customWidth="1"/>
    <col min="1026" max="1028" width="11.69921875" style="31" customWidth="1"/>
    <col min="1029" max="1030" width="9.796875" style="31" bestFit="1" customWidth="1"/>
    <col min="1031" max="1031" width="13.59765625" style="31" bestFit="1" customWidth="1"/>
    <col min="1032" max="1280" width="8.796875" style="31"/>
    <col min="1281" max="1281" width="58.796875" style="31" customWidth="1"/>
    <col min="1282" max="1284" width="11.69921875" style="31" customWidth="1"/>
    <col min="1285" max="1286" width="9.796875" style="31" bestFit="1" customWidth="1"/>
    <col min="1287" max="1287" width="13.59765625" style="31" bestFit="1" customWidth="1"/>
    <col min="1288" max="1536" width="8.796875" style="31"/>
    <col min="1537" max="1537" width="58.796875" style="31" customWidth="1"/>
    <col min="1538" max="1540" width="11.69921875" style="31" customWidth="1"/>
    <col min="1541" max="1542" width="9.796875" style="31" bestFit="1" customWidth="1"/>
    <col min="1543" max="1543" width="13.59765625" style="31" bestFit="1" customWidth="1"/>
    <col min="1544" max="1792" width="8.796875" style="31"/>
    <col min="1793" max="1793" width="58.796875" style="31" customWidth="1"/>
    <col min="1794" max="1796" width="11.69921875" style="31" customWidth="1"/>
    <col min="1797" max="1798" width="9.796875" style="31" bestFit="1" customWidth="1"/>
    <col min="1799" max="1799" width="13.59765625" style="31" bestFit="1" customWidth="1"/>
    <col min="1800" max="2048" width="8.796875" style="31"/>
    <col min="2049" max="2049" width="58.796875" style="31" customWidth="1"/>
    <col min="2050" max="2052" width="11.69921875" style="31" customWidth="1"/>
    <col min="2053" max="2054" width="9.796875" style="31" bestFit="1" customWidth="1"/>
    <col min="2055" max="2055" width="13.59765625" style="31" bestFit="1" customWidth="1"/>
    <col min="2056" max="2304" width="8.796875" style="31"/>
    <col min="2305" max="2305" width="58.796875" style="31" customWidth="1"/>
    <col min="2306" max="2308" width="11.69921875" style="31" customWidth="1"/>
    <col min="2309" max="2310" width="9.796875" style="31" bestFit="1" customWidth="1"/>
    <col min="2311" max="2311" width="13.59765625" style="31" bestFit="1" customWidth="1"/>
    <col min="2312" max="2560" width="8.796875" style="31"/>
    <col min="2561" max="2561" width="58.796875" style="31" customWidth="1"/>
    <col min="2562" max="2564" width="11.69921875" style="31" customWidth="1"/>
    <col min="2565" max="2566" width="9.796875" style="31" bestFit="1" customWidth="1"/>
    <col min="2567" max="2567" width="13.59765625" style="31" bestFit="1" customWidth="1"/>
    <col min="2568" max="2816" width="8.796875" style="31"/>
    <col min="2817" max="2817" width="58.796875" style="31" customWidth="1"/>
    <col min="2818" max="2820" width="11.69921875" style="31" customWidth="1"/>
    <col min="2821" max="2822" width="9.796875" style="31" bestFit="1" customWidth="1"/>
    <col min="2823" max="2823" width="13.59765625" style="31" bestFit="1" customWidth="1"/>
    <col min="2824" max="3072" width="8.796875" style="31"/>
    <col min="3073" max="3073" width="58.796875" style="31" customWidth="1"/>
    <col min="3074" max="3076" width="11.69921875" style="31" customWidth="1"/>
    <col min="3077" max="3078" width="9.796875" style="31" bestFit="1" customWidth="1"/>
    <col min="3079" max="3079" width="13.59765625" style="31" bestFit="1" customWidth="1"/>
    <col min="3080" max="3328" width="8.796875" style="31"/>
    <col min="3329" max="3329" width="58.796875" style="31" customWidth="1"/>
    <col min="3330" max="3332" width="11.69921875" style="31" customWidth="1"/>
    <col min="3333" max="3334" width="9.796875" style="31" bestFit="1" customWidth="1"/>
    <col min="3335" max="3335" width="13.59765625" style="31" bestFit="1" customWidth="1"/>
    <col min="3336" max="3584" width="8.796875" style="31"/>
    <col min="3585" max="3585" width="58.796875" style="31" customWidth="1"/>
    <col min="3586" max="3588" width="11.69921875" style="31" customWidth="1"/>
    <col min="3589" max="3590" width="9.796875" style="31" bestFit="1" customWidth="1"/>
    <col min="3591" max="3591" width="13.59765625" style="31" bestFit="1" customWidth="1"/>
    <col min="3592" max="3840" width="8.796875" style="31"/>
    <col min="3841" max="3841" width="58.796875" style="31" customWidth="1"/>
    <col min="3842" max="3844" width="11.69921875" style="31" customWidth="1"/>
    <col min="3845" max="3846" width="9.796875" style="31" bestFit="1" customWidth="1"/>
    <col min="3847" max="3847" width="13.59765625" style="31" bestFit="1" customWidth="1"/>
    <col min="3848" max="4096" width="8.796875" style="31"/>
    <col min="4097" max="4097" width="58.796875" style="31" customWidth="1"/>
    <col min="4098" max="4100" width="11.69921875" style="31" customWidth="1"/>
    <col min="4101" max="4102" width="9.796875" style="31" bestFit="1" customWidth="1"/>
    <col min="4103" max="4103" width="13.59765625" style="31" bestFit="1" customWidth="1"/>
    <col min="4104" max="4352" width="8.796875" style="31"/>
    <col min="4353" max="4353" width="58.796875" style="31" customWidth="1"/>
    <col min="4354" max="4356" width="11.69921875" style="31" customWidth="1"/>
    <col min="4357" max="4358" width="9.796875" style="31" bestFit="1" customWidth="1"/>
    <col min="4359" max="4359" width="13.59765625" style="31" bestFit="1" customWidth="1"/>
    <col min="4360" max="4608" width="8.796875" style="31"/>
    <col min="4609" max="4609" width="58.796875" style="31" customWidth="1"/>
    <col min="4610" max="4612" width="11.69921875" style="31" customWidth="1"/>
    <col min="4613" max="4614" width="9.796875" style="31" bestFit="1" customWidth="1"/>
    <col min="4615" max="4615" width="13.59765625" style="31" bestFit="1" customWidth="1"/>
    <col min="4616" max="4864" width="8.796875" style="31"/>
    <col min="4865" max="4865" width="58.796875" style="31" customWidth="1"/>
    <col min="4866" max="4868" width="11.69921875" style="31" customWidth="1"/>
    <col min="4869" max="4870" width="9.796875" style="31" bestFit="1" customWidth="1"/>
    <col min="4871" max="4871" width="13.59765625" style="31" bestFit="1" customWidth="1"/>
    <col min="4872" max="5120" width="8.796875" style="31"/>
    <col min="5121" max="5121" width="58.796875" style="31" customWidth="1"/>
    <col min="5122" max="5124" width="11.69921875" style="31" customWidth="1"/>
    <col min="5125" max="5126" width="9.796875" style="31" bestFit="1" customWidth="1"/>
    <col min="5127" max="5127" width="13.59765625" style="31" bestFit="1" customWidth="1"/>
    <col min="5128" max="5376" width="8.796875" style="31"/>
    <col min="5377" max="5377" width="58.796875" style="31" customWidth="1"/>
    <col min="5378" max="5380" width="11.69921875" style="31" customWidth="1"/>
    <col min="5381" max="5382" width="9.796875" style="31" bestFit="1" customWidth="1"/>
    <col min="5383" max="5383" width="13.59765625" style="31" bestFit="1" customWidth="1"/>
    <col min="5384" max="5632" width="8.796875" style="31"/>
    <col min="5633" max="5633" width="58.796875" style="31" customWidth="1"/>
    <col min="5634" max="5636" width="11.69921875" style="31" customWidth="1"/>
    <col min="5637" max="5638" width="9.796875" style="31" bestFit="1" customWidth="1"/>
    <col min="5639" max="5639" width="13.59765625" style="31" bestFit="1" customWidth="1"/>
    <col min="5640" max="5888" width="8.796875" style="31"/>
    <col min="5889" max="5889" width="58.796875" style="31" customWidth="1"/>
    <col min="5890" max="5892" width="11.69921875" style="31" customWidth="1"/>
    <col min="5893" max="5894" width="9.796875" style="31" bestFit="1" customWidth="1"/>
    <col min="5895" max="5895" width="13.59765625" style="31" bestFit="1" customWidth="1"/>
    <col min="5896" max="6144" width="8.796875" style="31"/>
    <col min="6145" max="6145" width="58.796875" style="31" customWidth="1"/>
    <col min="6146" max="6148" width="11.69921875" style="31" customWidth="1"/>
    <col min="6149" max="6150" width="9.796875" style="31" bestFit="1" customWidth="1"/>
    <col min="6151" max="6151" width="13.59765625" style="31" bestFit="1" customWidth="1"/>
    <col min="6152" max="6400" width="8.796875" style="31"/>
    <col min="6401" max="6401" width="58.796875" style="31" customWidth="1"/>
    <col min="6402" max="6404" width="11.69921875" style="31" customWidth="1"/>
    <col min="6405" max="6406" width="9.796875" style="31" bestFit="1" customWidth="1"/>
    <col min="6407" max="6407" width="13.59765625" style="31" bestFit="1" customWidth="1"/>
    <col min="6408" max="6656" width="8.796875" style="31"/>
    <col min="6657" max="6657" width="58.796875" style="31" customWidth="1"/>
    <col min="6658" max="6660" width="11.69921875" style="31" customWidth="1"/>
    <col min="6661" max="6662" width="9.796875" style="31" bestFit="1" customWidth="1"/>
    <col min="6663" max="6663" width="13.59765625" style="31" bestFit="1" customWidth="1"/>
    <col min="6664" max="6912" width="8.796875" style="31"/>
    <col min="6913" max="6913" width="58.796875" style="31" customWidth="1"/>
    <col min="6914" max="6916" width="11.69921875" style="31" customWidth="1"/>
    <col min="6917" max="6918" width="9.796875" style="31" bestFit="1" customWidth="1"/>
    <col min="6919" max="6919" width="13.59765625" style="31" bestFit="1" customWidth="1"/>
    <col min="6920" max="7168" width="8.796875" style="31"/>
    <col min="7169" max="7169" width="58.796875" style="31" customWidth="1"/>
    <col min="7170" max="7172" width="11.69921875" style="31" customWidth="1"/>
    <col min="7173" max="7174" width="9.796875" style="31" bestFit="1" customWidth="1"/>
    <col min="7175" max="7175" width="13.59765625" style="31" bestFit="1" customWidth="1"/>
    <col min="7176" max="7424" width="8.796875" style="31"/>
    <col min="7425" max="7425" width="58.796875" style="31" customWidth="1"/>
    <col min="7426" max="7428" width="11.69921875" style="31" customWidth="1"/>
    <col min="7429" max="7430" width="9.796875" style="31" bestFit="1" customWidth="1"/>
    <col min="7431" max="7431" width="13.59765625" style="31" bestFit="1" customWidth="1"/>
    <col min="7432" max="7680" width="8.796875" style="31"/>
    <col min="7681" max="7681" width="58.796875" style="31" customWidth="1"/>
    <col min="7682" max="7684" width="11.69921875" style="31" customWidth="1"/>
    <col min="7685" max="7686" width="9.796875" style="31" bestFit="1" customWidth="1"/>
    <col min="7687" max="7687" width="13.59765625" style="31" bestFit="1" customWidth="1"/>
    <col min="7688" max="7936" width="8.796875" style="31"/>
    <col min="7937" max="7937" width="58.796875" style="31" customWidth="1"/>
    <col min="7938" max="7940" width="11.69921875" style="31" customWidth="1"/>
    <col min="7941" max="7942" width="9.796875" style="31" bestFit="1" customWidth="1"/>
    <col min="7943" max="7943" width="13.59765625" style="31" bestFit="1" customWidth="1"/>
    <col min="7944" max="8192" width="8.796875" style="31"/>
    <col min="8193" max="8193" width="58.796875" style="31" customWidth="1"/>
    <col min="8194" max="8196" width="11.69921875" style="31" customWidth="1"/>
    <col min="8197" max="8198" width="9.796875" style="31" bestFit="1" customWidth="1"/>
    <col min="8199" max="8199" width="13.59765625" style="31" bestFit="1" customWidth="1"/>
    <col min="8200" max="8448" width="8.796875" style="31"/>
    <col min="8449" max="8449" width="58.796875" style="31" customWidth="1"/>
    <col min="8450" max="8452" width="11.69921875" style="31" customWidth="1"/>
    <col min="8453" max="8454" width="9.796875" style="31" bestFit="1" customWidth="1"/>
    <col min="8455" max="8455" width="13.59765625" style="31" bestFit="1" customWidth="1"/>
    <col min="8456" max="8704" width="8.796875" style="31"/>
    <col min="8705" max="8705" width="58.796875" style="31" customWidth="1"/>
    <col min="8706" max="8708" width="11.69921875" style="31" customWidth="1"/>
    <col min="8709" max="8710" width="9.796875" style="31" bestFit="1" customWidth="1"/>
    <col min="8711" max="8711" width="13.59765625" style="31" bestFit="1" customWidth="1"/>
    <col min="8712" max="8960" width="8.796875" style="31"/>
    <col min="8961" max="8961" width="58.796875" style="31" customWidth="1"/>
    <col min="8962" max="8964" width="11.69921875" style="31" customWidth="1"/>
    <col min="8965" max="8966" width="9.796875" style="31" bestFit="1" customWidth="1"/>
    <col min="8967" max="8967" width="13.59765625" style="31" bestFit="1" customWidth="1"/>
    <col min="8968" max="9216" width="8.796875" style="31"/>
    <col min="9217" max="9217" width="58.796875" style="31" customWidth="1"/>
    <col min="9218" max="9220" width="11.69921875" style="31" customWidth="1"/>
    <col min="9221" max="9222" width="9.796875" style="31" bestFit="1" customWidth="1"/>
    <col min="9223" max="9223" width="13.59765625" style="31" bestFit="1" customWidth="1"/>
    <col min="9224" max="9472" width="8.796875" style="31"/>
    <col min="9473" max="9473" width="58.796875" style="31" customWidth="1"/>
    <col min="9474" max="9476" width="11.69921875" style="31" customWidth="1"/>
    <col min="9477" max="9478" width="9.796875" style="31" bestFit="1" customWidth="1"/>
    <col min="9479" max="9479" width="13.59765625" style="31" bestFit="1" customWidth="1"/>
    <col min="9480" max="9728" width="8.796875" style="31"/>
    <col min="9729" max="9729" width="58.796875" style="31" customWidth="1"/>
    <col min="9730" max="9732" width="11.69921875" style="31" customWidth="1"/>
    <col min="9733" max="9734" width="9.796875" style="31" bestFit="1" customWidth="1"/>
    <col min="9735" max="9735" width="13.59765625" style="31" bestFit="1" customWidth="1"/>
    <col min="9736" max="9984" width="8.796875" style="31"/>
    <col min="9985" max="9985" width="58.796875" style="31" customWidth="1"/>
    <col min="9986" max="9988" width="11.69921875" style="31" customWidth="1"/>
    <col min="9989" max="9990" width="9.796875" style="31" bestFit="1" customWidth="1"/>
    <col min="9991" max="9991" width="13.59765625" style="31" bestFit="1" customWidth="1"/>
    <col min="9992" max="10240" width="8.796875" style="31"/>
    <col min="10241" max="10241" width="58.796875" style="31" customWidth="1"/>
    <col min="10242" max="10244" width="11.69921875" style="31" customWidth="1"/>
    <col min="10245" max="10246" width="9.796875" style="31" bestFit="1" customWidth="1"/>
    <col min="10247" max="10247" width="13.59765625" style="31" bestFit="1" customWidth="1"/>
    <col min="10248" max="10496" width="8.796875" style="31"/>
    <col min="10497" max="10497" width="58.796875" style="31" customWidth="1"/>
    <col min="10498" max="10500" width="11.69921875" style="31" customWidth="1"/>
    <col min="10501" max="10502" width="9.796875" style="31" bestFit="1" customWidth="1"/>
    <col min="10503" max="10503" width="13.59765625" style="31" bestFit="1" customWidth="1"/>
    <col min="10504" max="10752" width="8.796875" style="31"/>
    <col min="10753" max="10753" width="58.796875" style="31" customWidth="1"/>
    <col min="10754" max="10756" width="11.69921875" style="31" customWidth="1"/>
    <col min="10757" max="10758" width="9.796875" style="31" bestFit="1" customWidth="1"/>
    <col min="10759" max="10759" width="13.59765625" style="31" bestFit="1" customWidth="1"/>
    <col min="10760" max="11008" width="8.796875" style="31"/>
    <col min="11009" max="11009" width="58.796875" style="31" customWidth="1"/>
    <col min="11010" max="11012" width="11.69921875" style="31" customWidth="1"/>
    <col min="11013" max="11014" width="9.796875" style="31" bestFit="1" customWidth="1"/>
    <col min="11015" max="11015" width="13.59765625" style="31" bestFit="1" customWidth="1"/>
    <col min="11016" max="11264" width="8.796875" style="31"/>
    <col min="11265" max="11265" width="58.796875" style="31" customWidth="1"/>
    <col min="11266" max="11268" width="11.69921875" style="31" customWidth="1"/>
    <col min="11269" max="11270" width="9.796875" style="31" bestFit="1" customWidth="1"/>
    <col min="11271" max="11271" width="13.59765625" style="31" bestFit="1" customWidth="1"/>
    <col min="11272" max="11520" width="8.796875" style="31"/>
    <col min="11521" max="11521" width="58.796875" style="31" customWidth="1"/>
    <col min="11522" max="11524" width="11.69921875" style="31" customWidth="1"/>
    <col min="11525" max="11526" width="9.796875" style="31" bestFit="1" customWidth="1"/>
    <col min="11527" max="11527" width="13.59765625" style="31" bestFit="1" customWidth="1"/>
    <col min="11528" max="11776" width="8.796875" style="31"/>
    <col min="11777" max="11777" width="58.796875" style="31" customWidth="1"/>
    <col min="11778" max="11780" width="11.69921875" style="31" customWidth="1"/>
    <col min="11781" max="11782" width="9.796875" style="31" bestFit="1" customWidth="1"/>
    <col min="11783" max="11783" width="13.59765625" style="31" bestFit="1" customWidth="1"/>
    <col min="11784" max="12032" width="8.796875" style="31"/>
    <col min="12033" max="12033" width="58.796875" style="31" customWidth="1"/>
    <col min="12034" max="12036" width="11.69921875" style="31" customWidth="1"/>
    <col min="12037" max="12038" width="9.796875" style="31" bestFit="1" customWidth="1"/>
    <col min="12039" max="12039" width="13.59765625" style="31" bestFit="1" customWidth="1"/>
    <col min="12040" max="12288" width="8.796875" style="31"/>
    <col min="12289" max="12289" width="58.796875" style="31" customWidth="1"/>
    <col min="12290" max="12292" width="11.69921875" style="31" customWidth="1"/>
    <col min="12293" max="12294" width="9.796875" style="31" bestFit="1" customWidth="1"/>
    <col min="12295" max="12295" width="13.59765625" style="31" bestFit="1" customWidth="1"/>
    <col min="12296" max="12544" width="8.796875" style="31"/>
    <col min="12545" max="12545" width="58.796875" style="31" customWidth="1"/>
    <col min="12546" max="12548" width="11.69921875" style="31" customWidth="1"/>
    <col min="12549" max="12550" width="9.796875" style="31" bestFit="1" customWidth="1"/>
    <col min="12551" max="12551" width="13.59765625" style="31" bestFit="1" customWidth="1"/>
    <col min="12552" max="12800" width="8.796875" style="31"/>
    <col min="12801" max="12801" width="58.796875" style="31" customWidth="1"/>
    <col min="12802" max="12804" width="11.69921875" style="31" customWidth="1"/>
    <col min="12805" max="12806" width="9.796875" style="31" bestFit="1" customWidth="1"/>
    <col min="12807" max="12807" width="13.59765625" style="31" bestFit="1" customWidth="1"/>
    <col min="12808" max="13056" width="8.796875" style="31"/>
    <col min="13057" max="13057" width="58.796875" style="31" customWidth="1"/>
    <col min="13058" max="13060" width="11.69921875" style="31" customWidth="1"/>
    <col min="13061" max="13062" width="9.796875" style="31" bestFit="1" customWidth="1"/>
    <col min="13063" max="13063" width="13.59765625" style="31" bestFit="1" customWidth="1"/>
    <col min="13064" max="13312" width="8.796875" style="31"/>
    <col min="13313" max="13313" width="58.796875" style="31" customWidth="1"/>
    <col min="13314" max="13316" width="11.69921875" style="31" customWidth="1"/>
    <col min="13317" max="13318" width="9.796875" style="31" bestFit="1" customWidth="1"/>
    <col min="13319" max="13319" width="13.59765625" style="31" bestFit="1" customWidth="1"/>
    <col min="13320" max="13568" width="8.796875" style="31"/>
    <col min="13569" max="13569" width="58.796875" style="31" customWidth="1"/>
    <col min="13570" max="13572" width="11.69921875" style="31" customWidth="1"/>
    <col min="13573" max="13574" width="9.796875" style="31" bestFit="1" customWidth="1"/>
    <col min="13575" max="13575" width="13.59765625" style="31" bestFit="1" customWidth="1"/>
    <col min="13576" max="13824" width="8.796875" style="31"/>
    <col min="13825" max="13825" width="58.796875" style="31" customWidth="1"/>
    <col min="13826" max="13828" width="11.69921875" style="31" customWidth="1"/>
    <col min="13829" max="13830" width="9.796875" style="31" bestFit="1" customWidth="1"/>
    <col min="13831" max="13831" width="13.59765625" style="31" bestFit="1" customWidth="1"/>
    <col min="13832" max="14080" width="8.796875" style="31"/>
    <col min="14081" max="14081" width="58.796875" style="31" customWidth="1"/>
    <col min="14082" max="14084" width="11.69921875" style="31" customWidth="1"/>
    <col min="14085" max="14086" width="9.796875" style="31" bestFit="1" customWidth="1"/>
    <col min="14087" max="14087" width="13.59765625" style="31" bestFit="1" customWidth="1"/>
    <col min="14088" max="14336" width="8.796875" style="31"/>
    <col min="14337" max="14337" width="58.796875" style="31" customWidth="1"/>
    <col min="14338" max="14340" width="11.69921875" style="31" customWidth="1"/>
    <col min="14341" max="14342" width="9.796875" style="31" bestFit="1" customWidth="1"/>
    <col min="14343" max="14343" width="13.59765625" style="31" bestFit="1" customWidth="1"/>
    <col min="14344" max="14592" width="8.796875" style="31"/>
    <col min="14593" max="14593" width="58.796875" style="31" customWidth="1"/>
    <col min="14594" max="14596" width="11.69921875" style="31" customWidth="1"/>
    <col min="14597" max="14598" width="9.796875" style="31" bestFit="1" customWidth="1"/>
    <col min="14599" max="14599" width="13.59765625" style="31" bestFit="1" customWidth="1"/>
    <col min="14600" max="14848" width="8.796875" style="31"/>
    <col min="14849" max="14849" width="58.796875" style="31" customWidth="1"/>
    <col min="14850" max="14852" width="11.69921875" style="31" customWidth="1"/>
    <col min="14853" max="14854" width="9.796875" style="31" bestFit="1" customWidth="1"/>
    <col min="14855" max="14855" width="13.59765625" style="31" bestFit="1" customWidth="1"/>
    <col min="14856" max="15104" width="8.796875" style="31"/>
    <col min="15105" max="15105" width="58.796875" style="31" customWidth="1"/>
    <col min="15106" max="15108" width="11.69921875" style="31" customWidth="1"/>
    <col min="15109" max="15110" width="9.796875" style="31" bestFit="1" customWidth="1"/>
    <col min="15111" max="15111" width="13.59765625" style="31" bestFit="1" customWidth="1"/>
    <col min="15112" max="15360" width="8.796875" style="31"/>
    <col min="15361" max="15361" width="58.796875" style="31" customWidth="1"/>
    <col min="15362" max="15364" width="11.69921875" style="31" customWidth="1"/>
    <col min="15365" max="15366" width="9.796875" style="31" bestFit="1" customWidth="1"/>
    <col min="15367" max="15367" width="13.59765625" style="31" bestFit="1" customWidth="1"/>
    <col min="15368" max="15616" width="8.796875" style="31"/>
    <col min="15617" max="15617" width="58.796875" style="31" customWidth="1"/>
    <col min="15618" max="15620" width="11.69921875" style="31" customWidth="1"/>
    <col min="15621" max="15622" width="9.796875" style="31" bestFit="1" customWidth="1"/>
    <col min="15623" max="15623" width="13.59765625" style="31" bestFit="1" customWidth="1"/>
    <col min="15624" max="15872" width="8.796875" style="31"/>
    <col min="15873" max="15873" width="58.796875" style="31" customWidth="1"/>
    <col min="15874" max="15876" width="11.69921875" style="31" customWidth="1"/>
    <col min="15877" max="15878" width="9.796875" style="31" bestFit="1" customWidth="1"/>
    <col min="15879" max="15879" width="13.59765625" style="31" bestFit="1" customWidth="1"/>
    <col min="15880" max="16128" width="8.796875" style="31"/>
    <col min="16129" max="16129" width="58.796875" style="31" customWidth="1"/>
    <col min="16130" max="16132" width="11.69921875" style="31" customWidth="1"/>
    <col min="16133" max="16134" width="9.796875" style="31" bestFit="1" customWidth="1"/>
    <col min="16135" max="16135" width="13.59765625" style="31" bestFit="1" customWidth="1"/>
    <col min="16136" max="16384" width="8.796875" style="31"/>
  </cols>
  <sheetData>
    <row r="1" spans="1:7" ht="42.6" customHeight="1" x14ac:dyDescent="0.25">
      <c r="A1" s="96" t="s">
        <v>178</v>
      </c>
      <c r="B1" s="96"/>
      <c r="C1" s="96"/>
      <c r="D1" s="96"/>
      <c r="E1" s="96"/>
      <c r="F1" s="96"/>
      <c r="G1" s="96"/>
    </row>
    <row r="2" spans="1:7" ht="12" customHeight="1" x14ac:dyDescent="0.25">
      <c r="B2" s="41">
        <v>2008</v>
      </c>
      <c r="C2" s="41">
        <v>2009</v>
      </c>
      <c r="D2" s="42">
        <v>2010</v>
      </c>
      <c r="E2" s="42">
        <v>2011</v>
      </c>
      <c r="F2" s="42">
        <v>2012</v>
      </c>
    </row>
    <row r="3" spans="1:7" x14ac:dyDescent="0.25">
      <c r="A3" s="43" t="s">
        <v>96</v>
      </c>
      <c r="B3" s="44"/>
      <c r="C3" s="44"/>
    </row>
    <row r="4" spans="1:7" x14ac:dyDescent="0.25">
      <c r="A4" s="40" t="s">
        <v>97</v>
      </c>
      <c r="B4" s="45">
        <v>479355</v>
      </c>
      <c r="C4" s="45">
        <v>495597</v>
      </c>
      <c r="D4" s="46">
        <v>534268</v>
      </c>
      <c r="E4" s="47">
        <v>505856</v>
      </c>
      <c r="F4" s="47">
        <v>520273</v>
      </c>
    </row>
    <row r="5" spans="1:7" ht="26.4" x14ac:dyDescent="0.25">
      <c r="A5" s="48" t="s">
        <v>98</v>
      </c>
      <c r="B5" s="45"/>
      <c r="C5" s="45"/>
      <c r="D5" s="49"/>
      <c r="E5" s="50"/>
      <c r="F5" s="50"/>
    </row>
    <row r="6" spans="1:7" x14ac:dyDescent="0.25">
      <c r="A6" s="51" t="s">
        <v>99</v>
      </c>
      <c r="B6" s="45">
        <v>41583</v>
      </c>
      <c r="C6" s="45">
        <v>47647</v>
      </c>
      <c r="D6" s="50">
        <v>46438</v>
      </c>
      <c r="E6" s="50">
        <v>45839</v>
      </c>
      <c r="F6" s="50">
        <v>46622</v>
      </c>
    </row>
    <row r="7" spans="1:7" x14ac:dyDescent="0.25">
      <c r="A7" s="51" t="s">
        <v>100</v>
      </c>
      <c r="B7" s="45"/>
      <c r="C7" s="45"/>
      <c r="D7" s="50"/>
      <c r="E7" s="50"/>
      <c r="F7" s="50"/>
    </row>
    <row r="8" spans="1:7" x14ac:dyDescent="0.25">
      <c r="A8" s="52" t="s">
        <v>101</v>
      </c>
      <c r="B8" s="45">
        <v>9387</v>
      </c>
      <c r="C8" s="45">
        <v>25951</v>
      </c>
      <c r="D8" s="50">
        <v>-12724</v>
      </c>
      <c r="E8" s="50">
        <v>1685</v>
      </c>
      <c r="F8" s="50">
        <v>-2153</v>
      </c>
    </row>
    <row r="9" spans="1:7" x14ac:dyDescent="0.25">
      <c r="A9" s="52" t="s">
        <v>102</v>
      </c>
      <c r="B9" s="45">
        <v>-37630</v>
      </c>
      <c r="C9" s="45">
        <v>-22780</v>
      </c>
      <c r="D9" s="50">
        <v>-16247</v>
      </c>
      <c r="E9" s="50">
        <v>-15780</v>
      </c>
      <c r="F9" s="50">
        <v>-5517</v>
      </c>
    </row>
    <row r="10" spans="1:7" ht="27" customHeight="1" x14ac:dyDescent="0.25">
      <c r="A10" s="52" t="s">
        <v>103</v>
      </c>
      <c r="B10" s="89">
        <v>-52191</v>
      </c>
      <c r="C10" s="89">
        <v>13573</v>
      </c>
      <c r="D10" s="90">
        <v>16255</v>
      </c>
      <c r="E10" s="90">
        <v>14703</v>
      </c>
      <c r="F10" s="90">
        <v>-2975</v>
      </c>
    </row>
    <row r="11" spans="1:7" ht="28.8" customHeight="1" x14ac:dyDescent="0.25">
      <c r="A11" s="52" t="s">
        <v>180</v>
      </c>
      <c r="B11" s="89">
        <v>29612</v>
      </c>
      <c r="C11" s="89">
        <v>51172</v>
      </c>
      <c r="D11" s="90">
        <v>6757</v>
      </c>
      <c r="E11" s="90">
        <v>40541</v>
      </c>
      <c r="F11" s="90">
        <v>60255</v>
      </c>
    </row>
    <row r="12" spans="1:7" ht="13.95" customHeight="1" x14ac:dyDescent="0.25">
      <c r="A12" s="53" t="s">
        <v>105</v>
      </c>
      <c r="B12" s="54">
        <f>SUM(B4:B11)</f>
        <v>470116</v>
      </c>
      <c r="C12" s="54">
        <f>SUM(C4:C11)</f>
        <v>611160</v>
      </c>
      <c r="D12" s="54">
        <f>SUM(D4:D11)</f>
        <v>574747</v>
      </c>
      <c r="E12" s="54">
        <f>SUM(E4:E11)</f>
        <v>592844</v>
      </c>
      <c r="F12" s="54">
        <f>SUM(F4:F11)</f>
        <v>616505</v>
      </c>
      <c r="G12" s="31" t="str">
        <f ca="1">getformula(F12)</f>
        <v>&lt;--  =SUM(F4:F11)</v>
      </c>
    </row>
    <row r="13" spans="1:7" ht="13.95" customHeight="1" x14ac:dyDescent="0.25">
      <c r="B13" s="45"/>
      <c r="C13" s="45"/>
      <c r="D13" s="50"/>
      <c r="E13" s="50"/>
      <c r="F13" s="50"/>
    </row>
    <row r="14" spans="1:7" ht="13.95" customHeight="1" x14ac:dyDescent="0.25">
      <c r="A14" s="43" t="s">
        <v>106</v>
      </c>
      <c r="B14" s="45"/>
      <c r="C14" s="45"/>
      <c r="D14" s="50"/>
      <c r="E14" s="50"/>
      <c r="F14" s="50"/>
    </row>
    <row r="15" spans="1:7" ht="13.95" customHeight="1" x14ac:dyDescent="0.25">
      <c r="A15" s="40" t="s">
        <v>107</v>
      </c>
      <c r="B15" s="45">
        <v>-5000</v>
      </c>
      <c r="C15" s="45">
        <v>-55000</v>
      </c>
      <c r="D15" s="50">
        <v>50000</v>
      </c>
      <c r="E15" s="50">
        <v>-10000</v>
      </c>
      <c r="F15" s="50">
        <v>20000</v>
      </c>
    </row>
    <row r="16" spans="1:7" ht="13.95" customHeight="1" x14ac:dyDescent="0.25">
      <c r="A16" s="40" t="s">
        <v>108</v>
      </c>
      <c r="B16" s="45">
        <v>-48944</v>
      </c>
      <c r="C16" s="45">
        <v>-70326</v>
      </c>
      <c r="D16" s="50">
        <v>-89947</v>
      </c>
      <c r="E16" s="50">
        <v>-37044</v>
      </c>
      <c r="F16" s="50">
        <v>-88426</v>
      </c>
    </row>
    <row r="17" spans="1:7" ht="25.8" customHeight="1" x14ac:dyDescent="0.25">
      <c r="A17" s="48" t="s">
        <v>109</v>
      </c>
      <c r="B17" s="89">
        <v>197</v>
      </c>
      <c r="C17" s="89">
        <v>6956</v>
      </c>
      <c r="D17" s="90">
        <v>22942</v>
      </c>
      <c r="E17" s="90">
        <v>6179</v>
      </c>
      <c r="F17" s="90">
        <v>28693</v>
      </c>
    </row>
    <row r="18" spans="1:7" ht="13.95" customHeight="1" x14ac:dyDescent="0.25">
      <c r="A18" s="43" t="s">
        <v>110</v>
      </c>
      <c r="B18" s="55">
        <v>-53747</v>
      </c>
      <c r="C18" s="55">
        <v>-118370</v>
      </c>
      <c r="D18" s="54">
        <f>SUM(D15:D17)</f>
        <v>-17005</v>
      </c>
      <c r="E18" s="54">
        <f>SUM(E15:E17)</f>
        <v>-40865</v>
      </c>
      <c r="F18" s="54">
        <f>SUM(F15:F17)</f>
        <v>-39733</v>
      </c>
      <c r="G18" s="31" t="str">
        <f ca="1">getformula(F18)</f>
        <v>&lt;--  =SUM(F15:F17)</v>
      </c>
    </row>
    <row r="19" spans="1:7" ht="13.95" customHeight="1" x14ac:dyDescent="0.25">
      <c r="B19" s="49"/>
      <c r="C19" s="49"/>
      <c r="D19" s="50"/>
      <c r="E19" s="50"/>
      <c r="F19" s="50"/>
    </row>
    <row r="20" spans="1:7" ht="13.95" customHeight="1" x14ac:dyDescent="0.25">
      <c r="A20" s="43" t="s">
        <v>111</v>
      </c>
      <c r="B20" s="45"/>
      <c r="C20" s="45"/>
      <c r="D20" s="50"/>
      <c r="E20" s="50"/>
      <c r="F20" s="50"/>
    </row>
    <row r="21" spans="1:7" ht="13.95" customHeight="1" x14ac:dyDescent="0.25">
      <c r="A21" s="40" t="s">
        <v>112</v>
      </c>
      <c r="B21" s="45">
        <v>0</v>
      </c>
      <c r="C21" s="45">
        <v>0</v>
      </c>
      <c r="D21" s="50">
        <v>-300000</v>
      </c>
      <c r="E21" s="50">
        <v>0</v>
      </c>
      <c r="F21" s="50">
        <v>-7095</v>
      </c>
    </row>
    <row r="22" spans="1:7" ht="13.95" customHeight="1" x14ac:dyDescent="0.25">
      <c r="A22" s="40" t="s">
        <v>113</v>
      </c>
      <c r="B22" s="45">
        <v>1242431</v>
      </c>
      <c r="C22" s="45">
        <v>0</v>
      </c>
      <c r="D22" s="50">
        <v>0</v>
      </c>
      <c r="E22" s="50">
        <v>0</v>
      </c>
      <c r="F22" s="50">
        <v>250000</v>
      </c>
    </row>
    <row r="23" spans="1:7" ht="13.95" customHeight="1" x14ac:dyDescent="0.25">
      <c r="A23" s="40" t="s">
        <v>114</v>
      </c>
      <c r="B23" s="45">
        <v>48286</v>
      </c>
      <c r="C23" s="45">
        <v>114276</v>
      </c>
      <c r="D23" s="50">
        <v>69375</v>
      </c>
      <c r="E23" s="50">
        <v>68214</v>
      </c>
      <c r="F23" s="50">
        <v>37855</v>
      </c>
    </row>
    <row r="24" spans="1:7" ht="13.95" customHeight="1" x14ac:dyDescent="0.25">
      <c r="A24" s="40" t="s">
        <v>46</v>
      </c>
      <c r="B24" s="45">
        <v>-332986</v>
      </c>
      <c r="C24" s="45">
        <v>-344128</v>
      </c>
      <c r="D24" s="50">
        <v>-361208</v>
      </c>
      <c r="E24" s="50">
        <v>-367499</v>
      </c>
      <c r="F24" s="50">
        <v>-378325</v>
      </c>
    </row>
    <row r="25" spans="1:7" ht="13.95" customHeight="1" x14ac:dyDescent="0.25">
      <c r="A25" s="40" t="s">
        <v>115</v>
      </c>
      <c r="B25" s="45">
        <v>-150095</v>
      </c>
      <c r="C25" s="45">
        <v>-200031</v>
      </c>
      <c r="D25" s="50">
        <v>-200038</v>
      </c>
      <c r="E25" s="56">
        <v>-200003</v>
      </c>
      <c r="F25" s="56">
        <v>-597738</v>
      </c>
    </row>
    <row r="26" spans="1:7" ht="13.95" customHeight="1" x14ac:dyDescent="0.25">
      <c r="A26" s="43" t="s">
        <v>116</v>
      </c>
      <c r="B26" s="54">
        <f>SUM(B21:B25)</f>
        <v>807636</v>
      </c>
      <c r="C26" s="54">
        <f>SUM(C21:C25)</f>
        <v>-429883</v>
      </c>
      <c r="D26" s="54">
        <f>SUM(D21:D25)</f>
        <v>-791871</v>
      </c>
      <c r="E26" s="54">
        <f>SUM(E21:E25)</f>
        <v>-499288</v>
      </c>
      <c r="F26" s="54">
        <f>SUM(F21:F25)</f>
        <v>-695303</v>
      </c>
      <c r="G26" s="31" t="str">
        <f ca="1">getformula(F26)</f>
        <v>&lt;--  =SUM(F21:F25)</v>
      </c>
    </row>
    <row r="28" spans="1:7" x14ac:dyDescent="0.25">
      <c r="A28" s="43" t="s">
        <v>117</v>
      </c>
      <c r="B28" s="57">
        <f>B12+B18+B26</f>
        <v>1224005</v>
      </c>
      <c r="C28" s="57">
        <f>C12+C18+C26</f>
        <v>62907</v>
      </c>
      <c r="D28" s="57">
        <f>D12+D18+D26</f>
        <v>-234129</v>
      </c>
      <c r="E28" s="57">
        <f>E12+E18+E26</f>
        <v>52691</v>
      </c>
      <c r="F28" s="57">
        <f>F12+F18+F26</f>
        <v>-118531</v>
      </c>
      <c r="G28" s="31" t="str">
        <f ca="1">getformula(F28)</f>
        <v>&lt;--  =F12+F18+F26</v>
      </c>
    </row>
    <row r="30" spans="1:7" x14ac:dyDescent="0.25">
      <c r="A30" s="58" t="s">
        <v>118</v>
      </c>
    </row>
    <row r="31" spans="1:7" x14ac:dyDescent="0.25">
      <c r="A31" s="40" t="s">
        <v>119</v>
      </c>
    </row>
    <row r="32" spans="1:7" x14ac:dyDescent="0.25">
      <c r="A32" s="59" t="s">
        <v>55</v>
      </c>
      <c r="B32" s="49">
        <v>255043</v>
      </c>
      <c r="C32" s="49">
        <v>175972</v>
      </c>
      <c r="D32" s="49">
        <v>314735</v>
      </c>
      <c r="E32" s="49">
        <v>283618</v>
      </c>
      <c r="F32" s="49">
        <v>305094</v>
      </c>
    </row>
    <row r="33" spans="1:7" x14ac:dyDescent="0.25">
      <c r="A33" s="59" t="s">
        <v>120</v>
      </c>
      <c r="B33" s="49">
        <v>83553</v>
      </c>
      <c r="C33" s="49">
        <v>83551</v>
      </c>
      <c r="D33" s="49">
        <v>70351</v>
      </c>
      <c r="E33" s="49">
        <v>57151</v>
      </c>
      <c r="F33" s="49">
        <v>57910</v>
      </c>
    </row>
    <row r="35" spans="1:7" x14ac:dyDescent="0.25">
      <c r="A35" s="40" t="s">
        <v>121</v>
      </c>
      <c r="B35" s="60">
        <f>B32/(B4+B32)</f>
        <v>0.34728171917679512</v>
      </c>
      <c r="C35" s="60">
        <f>C32/(C4+C32)</f>
        <v>0.26203115390972481</v>
      </c>
      <c r="D35" s="60">
        <f>D32/(D4+D32)</f>
        <v>0.37071129312852841</v>
      </c>
      <c r="E35" s="60">
        <f>E32/(E4+E32)</f>
        <v>0.35924932296693746</v>
      </c>
      <c r="F35" s="60">
        <f>F32/(F4+F32)</f>
        <v>0.36964647241772447</v>
      </c>
      <c r="G35" s="31" t="str">
        <f ca="1">getformula(F35)</f>
        <v>&lt;--  =F32/(F4+F32)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verticalDpi="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37"/>
  <sheetViews>
    <sheetView zoomScale="110" zoomScaleNormal="110" workbookViewId="0">
      <selection sqref="A1:G1"/>
    </sheetView>
  </sheetViews>
  <sheetFormatPr defaultRowHeight="13.2" x14ac:dyDescent="0.25"/>
  <cols>
    <col min="1" max="1" width="38.296875" style="40" customWidth="1"/>
    <col min="2" max="4" width="11.69921875" style="31" customWidth="1"/>
    <col min="5" max="6" width="9.796875" style="31" bestFit="1" customWidth="1"/>
    <col min="7" max="7" width="16" style="31" bestFit="1" customWidth="1"/>
    <col min="8" max="256" width="8.796875" style="31"/>
    <col min="257" max="257" width="58.796875" style="31" customWidth="1"/>
    <col min="258" max="260" width="11.69921875" style="31" customWidth="1"/>
    <col min="261" max="262" width="9.796875" style="31" bestFit="1" customWidth="1"/>
    <col min="263" max="263" width="13.59765625" style="31" bestFit="1" customWidth="1"/>
    <col min="264" max="512" width="8.796875" style="31"/>
    <col min="513" max="513" width="58.796875" style="31" customWidth="1"/>
    <col min="514" max="516" width="11.69921875" style="31" customWidth="1"/>
    <col min="517" max="518" width="9.796875" style="31" bestFit="1" customWidth="1"/>
    <col min="519" max="519" width="13.59765625" style="31" bestFit="1" customWidth="1"/>
    <col min="520" max="768" width="8.796875" style="31"/>
    <col min="769" max="769" width="58.796875" style="31" customWidth="1"/>
    <col min="770" max="772" width="11.69921875" style="31" customWidth="1"/>
    <col min="773" max="774" width="9.796875" style="31" bestFit="1" customWidth="1"/>
    <col min="775" max="775" width="13.59765625" style="31" bestFit="1" customWidth="1"/>
    <col min="776" max="1024" width="8.796875" style="31"/>
    <col min="1025" max="1025" width="58.796875" style="31" customWidth="1"/>
    <col min="1026" max="1028" width="11.69921875" style="31" customWidth="1"/>
    <col min="1029" max="1030" width="9.796875" style="31" bestFit="1" customWidth="1"/>
    <col min="1031" max="1031" width="13.59765625" style="31" bestFit="1" customWidth="1"/>
    <col min="1032" max="1280" width="8.796875" style="31"/>
    <col min="1281" max="1281" width="58.796875" style="31" customWidth="1"/>
    <col min="1282" max="1284" width="11.69921875" style="31" customWidth="1"/>
    <col min="1285" max="1286" width="9.796875" style="31" bestFit="1" customWidth="1"/>
    <col min="1287" max="1287" width="13.59765625" style="31" bestFit="1" customWidth="1"/>
    <col min="1288" max="1536" width="8.796875" style="31"/>
    <col min="1537" max="1537" width="58.796875" style="31" customWidth="1"/>
    <col min="1538" max="1540" width="11.69921875" style="31" customWidth="1"/>
    <col min="1541" max="1542" width="9.796875" style="31" bestFit="1" customWidth="1"/>
    <col min="1543" max="1543" width="13.59765625" style="31" bestFit="1" customWidth="1"/>
    <col min="1544" max="1792" width="8.796875" style="31"/>
    <col min="1793" max="1793" width="58.796875" style="31" customWidth="1"/>
    <col min="1794" max="1796" width="11.69921875" style="31" customWidth="1"/>
    <col min="1797" max="1798" width="9.796875" style="31" bestFit="1" customWidth="1"/>
    <col min="1799" max="1799" width="13.59765625" style="31" bestFit="1" customWidth="1"/>
    <col min="1800" max="2048" width="8.796875" style="31"/>
    <col min="2049" max="2049" width="58.796875" style="31" customWidth="1"/>
    <col min="2050" max="2052" width="11.69921875" style="31" customWidth="1"/>
    <col min="2053" max="2054" width="9.796875" style="31" bestFit="1" customWidth="1"/>
    <col min="2055" max="2055" width="13.59765625" style="31" bestFit="1" customWidth="1"/>
    <col min="2056" max="2304" width="8.796875" style="31"/>
    <col min="2305" max="2305" width="58.796875" style="31" customWidth="1"/>
    <col min="2306" max="2308" width="11.69921875" style="31" customWidth="1"/>
    <col min="2309" max="2310" width="9.796875" style="31" bestFit="1" customWidth="1"/>
    <col min="2311" max="2311" width="13.59765625" style="31" bestFit="1" customWidth="1"/>
    <col min="2312" max="2560" width="8.796875" style="31"/>
    <col min="2561" max="2561" width="58.796875" style="31" customWidth="1"/>
    <col min="2562" max="2564" width="11.69921875" style="31" customWidth="1"/>
    <col min="2565" max="2566" width="9.796875" style="31" bestFit="1" customWidth="1"/>
    <col min="2567" max="2567" width="13.59765625" style="31" bestFit="1" customWidth="1"/>
    <col min="2568" max="2816" width="8.796875" style="31"/>
    <col min="2817" max="2817" width="58.796875" style="31" customWidth="1"/>
    <col min="2818" max="2820" width="11.69921875" style="31" customWidth="1"/>
    <col min="2821" max="2822" width="9.796875" style="31" bestFit="1" customWidth="1"/>
    <col min="2823" max="2823" width="13.59765625" style="31" bestFit="1" customWidth="1"/>
    <col min="2824" max="3072" width="8.796875" style="31"/>
    <col min="3073" max="3073" width="58.796875" style="31" customWidth="1"/>
    <col min="3074" max="3076" width="11.69921875" style="31" customWidth="1"/>
    <col min="3077" max="3078" width="9.796875" style="31" bestFit="1" customWidth="1"/>
    <col min="3079" max="3079" width="13.59765625" style="31" bestFit="1" customWidth="1"/>
    <col min="3080" max="3328" width="8.796875" style="31"/>
    <col min="3329" max="3329" width="58.796875" style="31" customWidth="1"/>
    <col min="3330" max="3332" width="11.69921875" style="31" customWidth="1"/>
    <col min="3333" max="3334" width="9.796875" style="31" bestFit="1" customWidth="1"/>
    <col min="3335" max="3335" width="13.59765625" style="31" bestFit="1" customWidth="1"/>
    <col min="3336" max="3584" width="8.796875" style="31"/>
    <col min="3585" max="3585" width="58.796875" style="31" customWidth="1"/>
    <col min="3586" max="3588" width="11.69921875" style="31" customWidth="1"/>
    <col min="3589" max="3590" width="9.796875" style="31" bestFit="1" customWidth="1"/>
    <col min="3591" max="3591" width="13.59765625" style="31" bestFit="1" customWidth="1"/>
    <col min="3592" max="3840" width="8.796875" style="31"/>
    <col min="3841" max="3841" width="58.796875" style="31" customWidth="1"/>
    <col min="3842" max="3844" width="11.69921875" style="31" customWidth="1"/>
    <col min="3845" max="3846" width="9.796875" style="31" bestFit="1" customWidth="1"/>
    <col min="3847" max="3847" width="13.59765625" style="31" bestFit="1" customWidth="1"/>
    <col min="3848" max="4096" width="8.796875" style="31"/>
    <col min="4097" max="4097" width="58.796875" style="31" customWidth="1"/>
    <col min="4098" max="4100" width="11.69921875" style="31" customWidth="1"/>
    <col min="4101" max="4102" width="9.796875" style="31" bestFit="1" customWidth="1"/>
    <col min="4103" max="4103" width="13.59765625" style="31" bestFit="1" customWidth="1"/>
    <col min="4104" max="4352" width="8.796875" style="31"/>
    <col min="4353" max="4353" width="58.796875" style="31" customWidth="1"/>
    <col min="4354" max="4356" width="11.69921875" style="31" customWidth="1"/>
    <col min="4357" max="4358" width="9.796875" style="31" bestFit="1" customWidth="1"/>
    <col min="4359" max="4359" width="13.59765625" style="31" bestFit="1" customWidth="1"/>
    <col min="4360" max="4608" width="8.796875" style="31"/>
    <col min="4609" max="4609" width="58.796875" style="31" customWidth="1"/>
    <col min="4610" max="4612" width="11.69921875" style="31" customWidth="1"/>
    <col min="4613" max="4614" width="9.796875" style="31" bestFit="1" customWidth="1"/>
    <col min="4615" max="4615" width="13.59765625" style="31" bestFit="1" customWidth="1"/>
    <col min="4616" max="4864" width="8.796875" style="31"/>
    <col min="4865" max="4865" width="58.796875" style="31" customWidth="1"/>
    <col min="4866" max="4868" width="11.69921875" style="31" customWidth="1"/>
    <col min="4869" max="4870" width="9.796875" style="31" bestFit="1" customWidth="1"/>
    <col min="4871" max="4871" width="13.59765625" style="31" bestFit="1" customWidth="1"/>
    <col min="4872" max="5120" width="8.796875" style="31"/>
    <col min="5121" max="5121" width="58.796875" style="31" customWidth="1"/>
    <col min="5122" max="5124" width="11.69921875" style="31" customWidth="1"/>
    <col min="5125" max="5126" width="9.796875" style="31" bestFit="1" customWidth="1"/>
    <col min="5127" max="5127" width="13.59765625" style="31" bestFit="1" customWidth="1"/>
    <col min="5128" max="5376" width="8.796875" style="31"/>
    <col min="5377" max="5377" width="58.796875" style="31" customWidth="1"/>
    <col min="5378" max="5380" width="11.69921875" style="31" customWidth="1"/>
    <col min="5381" max="5382" width="9.796875" style="31" bestFit="1" customWidth="1"/>
    <col min="5383" max="5383" width="13.59765625" style="31" bestFit="1" customWidth="1"/>
    <col min="5384" max="5632" width="8.796875" style="31"/>
    <col min="5633" max="5633" width="58.796875" style="31" customWidth="1"/>
    <col min="5634" max="5636" width="11.69921875" style="31" customWidth="1"/>
    <col min="5637" max="5638" width="9.796875" style="31" bestFit="1" customWidth="1"/>
    <col min="5639" max="5639" width="13.59765625" style="31" bestFit="1" customWidth="1"/>
    <col min="5640" max="5888" width="8.796875" style="31"/>
    <col min="5889" max="5889" width="58.796875" style="31" customWidth="1"/>
    <col min="5890" max="5892" width="11.69921875" style="31" customWidth="1"/>
    <col min="5893" max="5894" width="9.796875" style="31" bestFit="1" customWidth="1"/>
    <col min="5895" max="5895" width="13.59765625" style="31" bestFit="1" customWidth="1"/>
    <col min="5896" max="6144" width="8.796875" style="31"/>
    <col min="6145" max="6145" width="58.796875" style="31" customWidth="1"/>
    <col min="6146" max="6148" width="11.69921875" style="31" customWidth="1"/>
    <col min="6149" max="6150" width="9.796875" style="31" bestFit="1" customWidth="1"/>
    <col min="6151" max="6151" width="13.59765625" style="31" bestFit="1" customWidth="1"/>
    <col min="6152" max="6400" width="8.796875" style="31"/>
    <col min="6401" max="6401" width="58.796875" style="31" customWidth="1"/>
    <col min="6402" max="6404" width="11.69921875" style="31" customWidth="1"/>
    <col min="6405" max="6406" width="9.796875" style="31" bestFit="1" customWidth="1"/>
    <col min="6407" max="6407" width="13.59765625" style="31" bestFit="1" customWidth="1"/>
    <col min="6408" max="6656" width="8.796875" style="31"/>
    <col min="6657" max="6657" width="58.796875" style="31" customWidth="1"/>
    <col min="6658" max="6660" width="11.69921875" style="31" customWidth="1"/>
    <col min="6661" max="6662" width="9.796875" style="31" bestFit="1" customWidth="1"/>
    <col min="6663" max="6663" width="13.59765625" style="31" bestFit="1" customWidth="1"/>
    <col min="6664" max="6912" width="8.796875" style="31"/>
    <col min="6913" max="6913" width="58.796875" style="31" customWidth="1"/>
    <col min="6914" max="6916" width="11.69921875" style="31" customWidth="1"/>
    <col min="6917" max="6918" width="9.796875" style="31" bestFit="1" customWidth="1"/>
    <col min="6919" max="6919" width="13.59765625" style="31" bestFit="1" customWidth="1"/>
    <col min="6920" max="7168" width="8.796875" style="31"/>
    <col min="7169" max="7169" width="58.796875" style="31" customWidth="1"/>
    <col min="7170" max="7172" width="11.69921875" style="31" customWidth="1"/>
    <col min="7173" max="7174" width="9.796875" style="31" bestFit="1" customWidth="1"/>
    <col min="7175" max="7175" width="13.59765625" style="31" bestFit="1" customWidth="1"/>
    <col min="7176" max="7424" width="8.796875" style="31"/>
    <col min="7425" max="7425" width="58.796875" style="31" customWidth="1"/>
    <col min="7426" max="7428" width="11.69921875" style="31" customWidth="1"/>
    <col min="7429" max="7430" width="9.796875" style="31" bestFit="1" customWidth="1"/>
    <col min="7431" max="7431" width="13.59765625" style="31" bestFit="1" customWidth="1"/>
    <col min="7432" max="7680" width="8.796875" style="31"/>
    <col min="7681" max="7681" width="58.796875" style="31" customWidth="1"/>
    <col min="7682" max="7684" width="11.69921875" style="31" customWidth="1"/>
    <col min="7685" max="7686" width="9.796875" style="31" bestFit="1" customWidth="1"/>
    <col min="7687" max="7687" width="13.59765625" style="31" bestFit="1" customWidth="1"/>
    <col min="7688" max="7936" width="8.796875" style="31"/>
    <col min="7937" max="7937" width="58.796875" style="31" customWidth="1"/>
    <col min="7938" max="7940" width="11.69921875" style="31" customWidth="1"/>
    <col min="7941" max="7942" width="9.796875" style="31" bestFit="1" customWidth="1"/>
    <col min="7943" max="7943" width="13.59765625" style="31" bestFit="1" customWidth="1"/>
    <col min="7944" max="8192" width="8.796875" style="31"/>
    <col min="8193" max="8193" width="58.796875" style="31" customWidth="1"/>
    <col min="8194" max="8196" width="11.69921875" style="31" customWidth="1"/>
    <col min="8197" max="8198" width="9.796875" style="31" bestFit="1" customWidth="1"/>
    <col min="8199" max="8199" width="13.59765625" style="31" bestFit="1" customWidth="1"/>
    <col min="8200" max="8448" width="8.796875" style="31"/>
    <col min="8449" max="8449" width="58.796875" style="31" customWidth="1"/>
    <col min="8450" max="8452" width="11.69921875" style="31" customWidth="1"/>
    <col min="8453" max="8454" width="9.796875" style="31" bestFit="1" customWidth="1"/>
    <col min="8455" max="8455" width="13.59765625" style="31" bestFit="1" customWidth="1"/>
    <col min="8456" max="8704" width="8.796875" style="31"/>
    <col min="8705" max="8705" width="58.796875" style="31" customWidth="1"/>
    <col min="8706" max="8708" width="11.69921875" style="31" customWidth="1"/>
    <col min="8709" max="8710" width="9.796875" style="31" bestFit="1" customWidth="1"/>
    <col min="8711" max="8711" width="13.59765625" style="31" bestFit="1" customWidth="1"/>
    <col min="8712" max="8960" width="8.796875" style="31"/>
    <col min="8961" max="8961" width="58.796875" style="31" customWidth="1"/>
    <col min="8962" max="8964" width="11.69921875" style="31" customWidth="1"/>
    <col min="8965" max="8966" width="9.796875" style="31" bestFit="1" customWidth="1"/>
    <col min="8967" max="8967" width="13.59765625" style="31" bestFit="1" customWidth="1"/>
    <col min="8968" max="9216" width="8.796875" style="31"/>
    <col min="9217" max="9217" width="58.796875" style="31" customWidth="1"/>
    <col min="9218" max="9220" width="11.69921875" style="31" customWidth="1"/>
    <col min="9221" max="9222" width="9.796875" style="31" bestFit="1" customWidth="1"/>
    <col min="9223" max="9223" width="13.59765625" style="31" bestFit="1" customWidth="1"/>
    <col min="9224" max="9472" width="8.796875" style="31"/>
    <col min="9473" max="9473" width="58.796875" style="31" customWidth="1"/>
    <col min="9474" max="9476" width="11.69921875" style="31" customWidth="1"/>
    <col min="9477" max="9478" width="9.796875" style="31" bestFit="1" customWidth="1"/>
    <col min="9479" max="9479" width="13.59765625" style="31" bestFit="1" customWidth="1"/>
    <col min="9480" max="9728" width="8.796875" style="31"/>
    <col min="9729" max="9729" width="58.796875" style="31" customWidth="1"/>
    <col min="9730" max="9732" width="11.69921875" style="31" customWidth="1"/>
    <col min="9733" max="9734" width="9.796875" style="31" bestFit="1" customWidth="1"/>
    <col min="9735" max="9735" width="13.59765625" style="31" bestFit="1" customWidth="1"/>
    <col min="9736" max="9984" width="8.796875" style="31"/>
    <col min="9985" max="9985" width="58.796875" style="31" customWidth="1"/>
    <col min="9986" max="9988" width="11.69921875" style="31" customWidth="1"/>
    <col min="9989" max="9990" width="9.796875" style="31" bestFit="1" customWidth="1"/>
    <col min="9991" max="9991" width="13.59765625" style="31" bestFit="1" customWidth="1"/>
    <col min="9992" max="10240" width="8.796875" style="31"/>
    <col min="10241" max="10241" width="58.796875" style="31" customWidth="1"/>
    <col min="10242" max="10244" width="11.69921875" style="31" customWidth="1"/>
    <col min="10245" max="10246" width="9.796875" style="31" bestFit="1" customWidth="1"/>
    <col min="10247" max="10247" width="13.59765625" style="31" bestFit="1" customWidth="1"/>
    <col min="10248" max="10496" width="8.796875" style="31"/>
    <col min="10497" max="10497" width="58.796875" style="31" customWidth="1"/>
    <col min="10498" max="10500" width="11.69921875" style="31" customWidth="1"/>
    <col min="10501" max="10502" width="9.796875" style="31" bestFit="1" customWidth="1"/>
    <col min="10503" max="10503" width="13.59765625" style="31" bestFit="1" customWidth="1"/>
    <col min="10504" max="10752" width="8.796875" style="31"/>
    <col min="10753" max="10753" width="58.796875" style="31" customWidth="1"/>
    <col min="10754" max="10756" width="11.69921875" style="31" customWidth="1"/>
    <col min="10757" max="10758" width="9.796875" style="31" bestFit="1" customWidth="1"/>
    <col min="10759" max="10759" width="13.59765625" style="31" bestFit="1" customWidth="1"/>
    <col min="10760" max="11008" width="8.796875" style="31"/>
    <col min="11009" max="11009" width="58.796875" style="31" customWidth="1"/>
    <col min="11010" max="11012" width="11.69921875" style="31" customWidth="1"/>
    <col min="11013" max="11014" width="9.796875" style="31" bestFit="1" customWidth="1"/>
    <col min="11015" max="11015" width="13.59765625" style="31" bestFit="1" customWidth="1"/>
    <col min="11016" max="11264" width="8.796875" style="31"/>
    <col min="11265" max="11265" width="58.796875" style="31" customWidth="1"/>
    <col min="11266" max="11268" width="11.69921875" style="31" customWidth="1"/>
    <col min="11269" max="11270" width="9.796875" style="31" bestFit="1" customWidth="1"/>
    <col min="11271" max="11271" width="13.59765625" style="31" bestFit="1" customWidth="1"/>
    <col min="11272" max="11520" width="8.796875" style="31"/>
    <col min="11521" max="11521" width="58.796875" style="31" customWidth="1"/>
    <col min="11522" max="11524" width="11.69921875" style="31" customWidth="1"/>
    <col min="11525" max="11526" width="9.796875" style="31" bestFit="1" customWidth="1"/>
    <col min="11527" max="11527" width="13.59765625" style="31" bestFit="1" customWidth="1"/>
    <col min="11528" max="11776" width="8.796875" style="31"/>
    <col min="11777" max="11777" width="58.796875" style="31" customWidth="1"/>
    <col min="11778" max="11780" width="11.69921875" style="31" customWidth="1"/>
    <col min="11781" max="11782" width="9.796875" style="31" bestFit="1" customWidth="1"/>
    <col min="11783" max="11783" width="13.59765625" style="31" bestFit="1" customWidth="1"/>
    <col min="11784" max="12032" width="8.796875" style="31"/>
    <col min="12033" max="12033" width="58.796875" style="31" customWidth="1"/>
    <col min="12034" max="12036" width="11.69921875" style="31" customWidth="1"/>
    <col min="12037" max="12038" width="9.796875" style="31" bestFit="1" customWidth="1"/>
    <col min="12039" max="12039" width="13.59765625" style="31" bestFit="1" customWidth="1"/>
    <col min="12040" max="12288" width="8.796875" style="31"/>
    <col min="12289" max="12289" width="58.796875" style="31" customWidth="1"/>
    <col min="12290" max="12292" width="11.69921875" style="31" customWidth="1"/>
    <col min="12293" max="12294" width="9.796875" style="31" bestFit="1" customWidth="1"/>
    <col min="12295" max="12295" width="13.59765625" style="31" bestFit="1" customWidth="1"/>
    <col min="12296" max="12544" width="8.796875" style="31"/>
    <col min="12545" max="12545" width="58.796875" style="31" customWidth="1"/>
    <col min="12546" max="12548" width="11.69921875" style="31" customWidth="1"/>
    <col min="12549" max="12550" width="9.796875" style="31" bestFit="1" customWidth="1"/>
    <col min="12551" max="12551" width="13.59765625" style="31" bestFit="1" customWidth="1"/>
    <col min="12552" max="12800" width="8.796875" style="31"/>
    <col min="12801" max="12801" width="58.796875" style="31" customWidth="1"/>
    <col min="12802" max="12804" width="11.69921875" style="31" customWidth="1"/>
    <col min="12805" max="12806" width="9.796875" style="31" bestFit="1" customWidth="1"/>
    <col min="12807" max="12807" width="13.59765625" style="31" bestFit="1" customWidth="1"/>
    <col min="12808" max="13056" width="8.796875" style="31"/>
    <col min="13057" max="13057" width="58.796875" style="31" customWidth="1"/>
    <col min="13058" max="13060" width="11.69921875" style="31" customWidth="1"/>
    <col min="13061" max="13062" width="9.796875" style="31" bestFit="1" customWidth="1"/>
    <col min="13063" max="13063" width="13.59765625" style="31" bestFit="1" customWidth="1"/>
    <col min="13064" max="13312" width="8.796875" style="31"/>
    <col min="13313" max="13313" width="58.796875" style="31" customWidth="1"/>
    <col min="13314" max="13316" width="11.69921875" style="31" customWidth="1"/>
    <col min="13317" max="13318" width="9.796875" style="31" bestFit="1" customWidth="1"/>
    <col min="13319" max="13319" width="13.59765625" style="31" bestFit="1" customWidth="1"/>
    <col min="13320" max="13568" width="8.796875" style="31"/>
    <col min="13569" max="13569" width="58.796875" style="31" customWidth="1"/>
    <col min="13570" max="13572" width="11.69921875" style="31" customWidth="1"/>
    <col min="13573" max="13574" width="9.796875" style="31" bestFit="1" customWidth="1"/>
    <col min="13575" max="13575" width="13.59765625" style="31" bestFit="1" customWidth="1"/>
    <col min="13576" max="13824" width="8.796875" style="31"/>
    <col min="13825" max="13825" width="58.796875" style="31" customWidth="1"/>
    <col min="13826" max="13828" width="11.69921875" style="31" customWidth="1"/>
    <col min="13829" max="13830" width="9.796875" style="31" bestFit="1" customWidth="1"/>
    <col min="13831" max="13831" width="13.59765625" style="31" bestFit="1" customWidth="1"/>
    <col min="13832" max="14080" width="8.796875" style="31"/>
    <col min="14081" max="14081" width="58.796875" style="31" customWidth="1"/>
    <col min="14082" max="14084" width="11.69921875" style="31" customWidth="1"/>
    <col min="14085" max="14086" width="9.796875" style="31" bestFit="1" customWidth="1"/>
    <col min="14087" max="14087" width="13.59765625" style="31" bestFit="1" customWidth="1"/>
    <col min="14088" max="14336" width="8.796875" style="31"/>
    <col min="14337" max="14337" width="58.796875" style="31" customWidth="1"/>
    <col min="14338" max="14340" width="11.69921875" style="31" customWidth="1"/>
    <col min="14341" max="14342" width="9.796875" style="31" bestFit="1" customWidth="1"/>
    <col min="14343" max="14343" width="13.59765625" style="31" bestFit="1" customWidth="1"/>
    <col min="14344" max="14592" width="8.796875" style="31"/>
    <col min="14593" max="14593" width="58.796875" style="31" customWidth="1"/>
    <col min="14594" max="14596" width="11.69921875" style="31" customWidth="1"/>
    <col min="14597" max="14598" width="9.796875" style="31" bestFit="1" customWidth="1"/>
    <col min="14599" max="14599" width="13.59765625" style="31" bestFit="1" customWidth="1"/>
    <col min="14600" max="14848" width="8.796875" style="31"/>
    <col min="14849" max="14849" width="58.796875" style="31" customWidth="1"/>
    <col min="14850" max="14852" width="11.69921875" style="31" customWidth="1"/>
    <col min="14853" max="14854" width="9.796875" style="31" bestFit="1" customWidth="1"/>
    <col min="14855" max="14855" width="13.59765625" style="31" bestFit="1" customWidth="1"/>
    <col min="14856" max="15104" width="8.796875" style="31"/>
    <col min="15105" max="15105" width="58.796875" style="31" customWidth="1"/>
    <col min="15106" max="15108" width="11.69921875" style="31" customWidth="1"/>
    <col min="15109" max="15110" width="9.796875" style="31" bestFit="1" customWidth="1"/>
    <col min="15111" max="15111" width="13.59765625" style="31" bestFit="1" customWidth="1"/>
    <col min="15112" max="15360" width="8.796875" style="31"/>
    <col min="15361" max="15361" width="58.796875" style="31" customWidth="1"/>
    <col min="15362" max="15364" width="11.69921875" style="31" customWidth="1"/>
    <col min="15365" max="15366" width="9.796875" style="31" bestFit="1" customWidth="1"/>
    <col min="15367" max="15367" width="13.59765625" style="31" bestFit="1" customWidth="1"/>
    <col min="15368" max="15616" width="8.796875" style="31"/>
    <col min="15617" max="15617" width="58.796875" style="31" customWidth="1"/>
    <col min="15618" max="15620" width="11.69921875" style="31" customWidth="1"/>
    <col min="15621" max="15622" width="9.796875" style="31" bestFit="1" customWidth="1"/>
    <col min="15623" max="15623" width="13.59765625" style="31" bestFit="1" customWidth="1"/>
    <col min="15624" max="15872" width="8.796875" style="31"/>
    <col min="15873" max="15873" width="58.796875" style="31" customWidth="1"/>
    <col min="15874" max="15876" width="11.69921875" style="31" customWidth="1"/>
    <col min="15877" max="15878" width="9.796875" style="31" bestFit="1" customWidth="1"/>
    <col min="15879" max="15879" width="13.59765625" style="31" bestFit="1" customWidth="1"/>
    <col min="15880" max="16128" width="8.796875" style="31"/>
    <col min="16129" max="16129" width="58.796875" style="31" customWidth="1"/>
    <col min="16130" max="16132" width="11.69921875" style="31" customWidth="1"/>
    <col min="16133" max="16134" width="9.796875" style="31" bestFit="1" customWidth="1"/>
    <col min="16135" max="16135" width="13.59765625" style="31" bestFit="1" customWidth="1"/>
    <col min="16136" max="16384" width="8.796875" style="31"/>
  </cols>
  <sheetData>
    <row r="1" spans="1:7" ht="42.6" customHeight="1" x14ac:dyDescent="0.25">
      <c r="A1" s="96" t="s">
        <v>179</v>
      </c>
      <c r="B1" s="96"/>
      <c r="C1" s="96"/>
      <c r="D1" s="96"/>
      <c r="E1" s="96"/>
      <c r="F1" s="96"/>
      <c r="G1" s="96"/>
    </row>
    <row r="2" spans="1:7" ht="12" customHeight="1" x14ac:dyDescent="0.25">
      <c r="B2" s="41">
        <v>2008</v>
      </c>
      <c r="C2" s="41">
        <v>2009</v>
      </c>
      <c r="D2" s="42">
        <v>2010</v>
      </c>
      <c r="E2" s="42">
        <v>2011</v>
      </c>
      <c r="F2" s="42">
        <v>2012</v>
      </c>
    </row>
    <row r="3" spans="1:7" x14ac:dyDescent="0.25">
      <c r="A3" s="43" t="s">
        <v>96</v>
      </c>
      <c r="B3" s="44"/>
      <c r="C3" s="44"/>
    </row>
    <row r="4" spans="1:7" x14ac:dyDescent="0.25">
      <c r="A4" s="40" t="s">
        <v>97</v>
      </c>
      <c r="B4" s="45">
        <v>479355</v>
      </c>
      <c r="C4" s="45">
        <v>495597</v>
      </c>
      <c r="D4" s="46">
        <v>534268</v>
      </c>
      <c r="E4" s="47">
        <v>505856</v>
      </c>
      <c r="F4" s="47">
        <v>520273</v>
      </c>
    </row>
    <row r="5" spans="1:7" ht="26.4" x14ac:dyDescent="0.25">
      <c r="A5" s="48" t="s">
        <v>98</v>
      </c>
      <c r="B5" s="45"/>
      <c r="C5" s="45"/>
      <c r="D5" s="49"/>
      <c r="E5" s="50"/>
      <c r="F5" s="50"/>
    </row>
    <row r="6" spans="1:7" x14ac:dyDescent="0.25">
      <c r="A6" s="51" t="s">
        <v>99</v>
      </c>
      <c r="B6" s="45">
        <v>41583</v>
      </c>
      <c r="C6" s="45">
        <v>47647</v>
      </c>
      <c r="D6" s="50">
        <v>46438</v>
      </c>
      <c r="E6" s="50">
        <v>45839</v>
      </c>
      <c r="F6" s="50">
        <v>46622</v>
      </c>
    </row>
    <row r="7" spans="1:7" x14ac:dyDescent="0.25">
      <c r="A7" s="51" t="s">
        <v>100</v>
      </c>
      <c r="B7" s="45"/>
      <c r="C7" s="45"/>
      <c r="D7" s="50"/>
      <c r="E7" s="50"/>
      <c r="F7" s="50"/>
    </row>
    <row r="8" spans="1:7" x14ac:dyDescent="0.25">
      <c r="A8" s="52" t="s">
        <v>101</v>
      </c>
      <c r="B8" s="45">
        <v>9387</v>
      </c>
      <c r="C8" s="45">
        <v>25951</v>
      </c>
      <c r="D8" s="50">
        <v>-12724</v>
      </c>
      <c r="E8" s="50">
        <v>1685</v>
      </c>
      <c r="F8" s="50">
        <v>-2153</v>
      </c>
    </row>
    <row r="9" spans="1:7" x14ac:dyDescent="0.25">
      <c r="A9" s="52" t="s">
        <v>102</v>
      </c>
      <c r="B9" s="45">
        <v>-37630</v>
      </c>
      <c r="C9" s="45">
        <v>-22780</v>
      </c>
      <c r="D9" s="50">
        <v>-16247</v>
      </c>
      <c r="E9" s="50">
        <v>-15780</v>
      </c>
      <c r="F9" s="50">
        <v>-5517</v>
      </c>
    </row>
    <row r="10" spans="1:7" ht="27" customHeight="1" x14ac:dyDescent="0.25">
      <c r="A10" s="52" t="s">
        <v>103</v>
      </c>
      <c r="B10" s="45">
        <v>-52191</v>
      </c>
      <c r="C10" s="45">
        <v>13573</v>
      </c>
      <c r="D10" s="50">
        <v>16255</v>
      </c>
      <c r="E10" s="50">
        <v>14703</v>
      </c>
      <c r="F10" s="50">
        <v>-2975</v>
      </c>
    </row>
    <row r="11" spans="1:7" ht="28.8" customHeight="1" x14ac:dyDescent="0.25">
      <c r="A11" s="52" t="s">
        <v>104</v>
      </c>
      <c r="B11" s="45">
        <v>29612</v>
      </c>
      <c r="C11" s="45">
        <v>51172</v>
      </c>
      <c r="D11" s="50">
        <v>6757</v>
      </c>
      <c r="E11" s="50">
        <v>40541</v>
      </c>
      <c r="F11" s="50">
        <v>60255</v>
      </c>
    </row>
    <row r="12" spans="1:7" ht="13.95" customHeight="1" x14ac:dyDescent="0.25">
      <c r="A12" s="53" t="s">
        <v>105</v>
      </c>
      <c r="B12" s="54">
        <f>SUM(B4:B11)</f>
        <v>470116</v>
      </c>
      <c r="C12" s="54">
        <f>SUM(C4:C11)</f>
        <v>611160</v>
      </c>
      <c r="D12" s="54">
        <f>SUM(D4:D11)</f>
        <v>574747</v>
      </c>
      <c r="E12" s="54">
        <f>SUM(E4:E11)</f>
        <v>592844</v>
      </c>
      <c r="F12" s="54">
        <f>SUM(F4:F11)</f>
        <v>616505</v>
      </c>
      <c r="G12" s="31" t="str">
        <f ca="1">getformula(F12)</f>
        <v>&lt;--  =SUM(F4:F11)</v>
      </c>
    </row>
    <row r="13" spans="1:7" ht="13.95" customHeight="1" x14ac:dyDescent="0.25">
      <c r="B13" s="45"/>
      <c r="C13" s="45"/>
      <c r="D13" s="50"/>
      <c r="E13" s="50"/>
      <c r="F13" s="50"/>
    </row>
    <row r="14" spans="1:7" ht="13.95" customHeight="1" x14ac:dyDescent="0.25">
      <c r="A14" s="43" t="s">
        <v>106</v>
      </c>
      <c r="B14" s="45"/>
      <c r="C14" s="45"/>
      <c r="D14" s="50"/>
      <c r="E14" s="50"/>
      <c r="F14" s="50"/>
    </row>
    <row r="15" spans="1:7" ht="13.95" customHeight="1" x14ac:dyDescent="0.25">
      <c r="A15" s="40" t="s">
        <v>107</v>
      </c>
      <c r="B15" s="67"/>
      <c r="C15" s="67"/>
      <c r="D15" s="68"/>
      <c r="E15" s="68"/>
      <c r="F15" s="68"/>
    </row>
    <row r="16" spans="1:7" ht="13.95" customHeight="1" x14ac:dyDescent="0.25">
      <c r="A16" s="40" t="s">
        <v>108</v>
      </c>
      <c r="B16" s="45">
        <v>-48944</v>
      </c>
      <c r="C16" s="45">
        <v>-70326</v>
      </c>
      <c r="D16" s="50">
        <v>-89947</v>
      </c>
      <c r="E16" s="50">
        <v>-37044</v>
      </c>
      <c r="F16" s="50">
        <v>-88426</v>
      </c>
    </row>
    <row r="17" spans="1:7" ht="27.6" customHeight="1" x14ac:dyDescent="0.25">
      <c r="A17" s="48" t="s">
        <v>109</v>
      </c>
      <c r="B17" s="89">
        <v>197</v>
      </c>
      <c r="C17" s="89">
        <v>6956</v>
      </c>
      <c r="D17" s="90">
        <v>22942</v>
      </c>
      <c r="E17" s="90">
        <v>6179</v>
      </c>
      <c r="F17" s="90">
        <v>28693</v>
      </c>
    </row>
    <row r="18" spans="1:7" ht="13.95" customHeight="1" x14ac:dyDescent="0.25">
      <c r="A18" s="43" t="s">
        <v>110</v>
      </c>
      <c r="B18" s="55">
        <v>-53747</v>
      </c>
      <c r="C18" s="55">
        <v>-118370</v>
      </c>
      <c r="D18" s="54">
        <f>SUM(D15:D17)</f>
        <v>-67005</v>
      </c>
      <c r="E18" s="54">
        <f>SUM(E15:E17)</f>
        <v>-30865</v>
      </c>
      <c r="F18" s="54">
        <f>SUM(F15:F17)</f>
        <v>-59733</v>
      </c>
      <c r="G18" s="31" t="str">
        <f ca="1">getformula(F18)</f>
        <v>&lt;--  =SUM(F15:F17)</v>
      </c>
    </row>
    <row r="19" spans="1:7" ht="13.95" customHeight="1" x14ac:dyDescent="0.25">
      <c r="B19" s="49"/>
      <c r="C19" s="49"/>
      <c r="D19" s="50"/>
      <c r="E19" s="50"/>
      <c r="F19" s="50"/>
    </row>
    <row r="20" spans="1:7" ht="13.95" customHeight="1" x14ac:dyDescent="0.25">
      <c r="A20" s="43" t="s">
        <v>111</v>
      </c>
      <c r="B20" s="45"/>
      <c r="C20" s="45"/>
      <c r="D20" s="50"/>
      <c r="E20" s="50"/>
      <c r="F20" s="50"/>
    </row>
    <row r="21" spans="1:7" ht="13.95" customHeight="1" x14ac:dyDescent="0.25">
      <c r="A21" s="40" t="s">
        <v>112</v>
      </c>
      <c r="B21" s="67"/>
      <c r="C21" s="67"/>
      <c r="D21" s="68"/>
      <c r="E21" s="68"/>
      <c r="F21" s="68"/>
    </row>
    <row r="22" spans="1:7" ht="13.95" customHeight="1" x14ac:dyDescent="0.25">
      <c r="A22" s="40" t="s">
        <v>113</v>
      </c>
      <c r="B22" s="67"/>
      <c r="C22" s="67"/>
      <c r="D22" s="68"/>
      <c r="E22" s="68"/>
      <c r="F22" s="68"/>
    </row>
    <row r="23" spans="1:7" ht="13.95" customHeight="1" x14ac:dyDescent="0.25">
      <c r="A23" s="40" t="s">
        <v>114</v>
      </c>
      <c r="B23" s="67"/>
      <c r="C23" s="67"/>
      <c r="D23" s="68"/>
      <c r="E23" s="68"/>
      <c r="F23" s="68"/>
    </row>
    <row r="24" spans="1:7" ht="13.95" customHeight="1" x14ac:dyDescent="0.25">
      <c r="A24" s="40" t="s">
        <v>46</v>
      </c>
      <c r="B24" s="67"/>
      <c r="C24" s="67"/>
      <c r="D24" s="68"/>
      <c r="E24" s="68"/>
      <c r="F24" s="68"/>
    </row>
    <row r="25" spans="1:7" ht="13.95" customHeight="1" x14ac:dyDescent="0.25">
      <c r="A25" s="40" t="s">
        <v>115</v>
      </c>
      <c r="B25" s="67"/>
      <c r="C25" s="67"/>
      <c r="D25" s="68"/>
      <c r="E25" s="69"/>
      <c r="F25" s="69"/>
    </row>
    <row r="26" spans="1:7" ht="13.95" customHeight="1" x14ac:dyDescent="0.25">
      <c r="A26" s="43" t="s">
        <v>116</v>
      </c>
      <c r="B26" s="70"/>
      <c r="C26" s="70"/>
      <c r="D26" s="70"/>
      <c r="E26" s="70"/>
      <c r="F26" s="70"/>
      <c r="G26" s="31" t="str">
        <f ca="1">getformula(F26)</f>
        <v xml:space="preserve">&lt;--  </v>
      </c>
    </row>
    <row r="28" spans="1:7" x14ac:dyDescent="0.25">
      <c r="A28" s="43" t="s">
        <v>132</v>
      </c>
      <c r="B28" s="57">
        <f>B12+B18+B26</f>
        <v>416369</v>
      </c>
      <c r="C28" s="57">
        <f>C12+C18+C26</f>
        <v>492790</v>
      </c>
      <c r="D28" s="57">
        <f>D12+D18+D26</f>
        <v>507742</v>
      </c>
      <c r="E28" s="57">
        <f>E12+E18+E26</f>
        <v>561979</v>
      </c>
      <c r="F28" s="57">
        <f>F12+F18+F26</f>
        <v>556772</v>
      </c>
      <c r="G28" s="31" t="str">
        <f ca="1">getformula(F28)</f>
        <v>&lt;--  =F12+F18+F26</v>
      </c>
    </row>
    <row r="29" spans="1:7" x14ac:dyDescent="0.25">
      <c r="A29" s="43" t="s">
        <v>133</v>
      </c>
      <c r="B29" s="57">
        <f>(1-B37)*B35</f>
        <v>54536.570517621236</v>
      </c>
      <c r="C29" s="57">
        <f t="shared" ref="C29:E29" si="0">(1-C37)*C35</f>
        <v>61658.035059688576</v>
      </c>
      <c r="D29" s="57">
        <f t="shared" si="0"/>
        <v>44271.089817114902</v>
      </c>
      <c r="E29" s="57">
        <f t="shared" si="0"/>
        <v>36619.541943116557</v>
      </c>
      <c r="F29" s="57">
        <f>(1-F37)*F35</f>
        <v>36503.772782289576</v>
      </c>
      <c r="G29" s="31" t="str">
        <f ca="1">getformula(F29)</f>
        <v>&lt;--  =(1-F37)*F35</v>
      </c>
    </row>
    <row r="30" spans="1:7" x14ac:dyDescent="0.25">
      <c r="A30" s="71" t="s">
        <v>47</v>
      </c>
      <c r="B30" s="72">
        <f>B28+B29</f>
        <v>470905.57051762124</v>
      </c>
      <c r="C30" s="72">
        <f t="shared" ref="C30:F30" si="1">C28+C29</f>
        <v>554448.03505968861</v>
      </c>
      <c r="D30" s="72">
        <f t="shared" si="1"/>
        <v>552013.08981711487</v>
      </c>
      <c r="E30" s="72">
        <f t="shared" si="1"/>
        <v>598598.54194311658</v>
      </c>
      <c r="F30" s="72">
        <f t="shared" si="1"/>
        <v>593275.77278228954</v>
      </c>
      <c r="G30" s="31" t="str">
        <f ca="1">getformula(F30)</f>
        <v>&lt;--  =F28+F29</v>
      </c>
    </row>
    <row r="31" spans="1:7" x14ac:dyDescent="0.25">
      <c r="A31" s="43"/>
      <c r="B31" s="57"/>
      <c r="C31" s="57"/>
      <c r="D31" s="57"/>
      <c r="E31" s="57"/>
      <c r="F31" s="57"/>
    </row>
    <row r="32" spans="1:7" x14ac:dyDescent="0.25">
      <c r="A32" s="58" t="s">
        <v>118</v>
      </c>
    </row>
    <row r="33" spans="1:7" x14ac:dyDescent="0.25">
      <c r="A33" s="40" t="s">
        <v>119</v>
      </c>
    </row>
    <row r="34" spans="1:7" x14ac:dyDescent="0.25">
      <c r="A34" s="59" t="s">
        <v>55</v>
      </c>
      <c r="B34" s="49">
        <v>255043</v>
      </c>
      <c r="C34" s="49">
        <v>175972</v>
      </c>
      <c r="D34" s="49">
        <v>314735</v>
      </c>
      <c r="E34" s="49">
        <v>283618</v>
      </c>
      <c r="F34" s="49">
        <v>305094</v>
      </c>
    </row>
    <row r="35" spans="1:7" x14ac:dyDescent="0.25">
      <c r="A35" s="59" t="s">
        <v>120</v>
      </c>
      <c r="B35" s="49">
        <v>83553</v>
      </c>
      <c r="C35" s="49">
        <v>83551</v>
      </c>
      <c r="D35" s="49">
        <v>70351</v>
      </c>
      <c r="E35" s="49">
        <v>57151</v>
      </c>
      <c r="F35" s="49">
        <v>57910</v>
      </c>
    </row>
    <row r="37" spans="1:7" x14ac:dyDescent="0.25">
      <c r="A37" s="40" t="s">
        <v>121</v>
      </c>
      <c r="B37" s="60">
        <f>B34/(B4+B34)</f>
        <v>0.34728171917679512</v>
      </c>
      <c r="C37" s="60">
        <f>C34/(C4+C34)</f>
        <v>0.26203115390972481</v>
      </c>
      <c r="D37" s="60">
        <f>D34/(D4+D34)</f>
        <v>0.37071129312852841</v>
      </c>
      <c r="E37" s="60">
        <f>E34/(E4+E34)</f>
        <v>0.35924932296693746</v>
      </c>
      <c r="F37" s="60">
        <f>F34/(F4+F34)</f>
        <v>0.36964647241772447</v>
      </c>
      <c r="G37" s="31" t="str">
        <f ca="1">getformula(F37)</f>
        <v>&lt;--  =F34/(F4+F34)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verticalDpi="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19"/>
  <sheetViews>
    <sheetView workbookViewId="0">
      <selection sqref="A1:H1"/>
    </sheetView>
  </sheetViews>
  <sheetFormatPr defaultRowHeight="13.8" x14ac:dyDescent="0.25"/>
  <cols>
    <col min="1" max="1" width="34" bestFit="1" customWidth="1"/>
    <col min="2" max="2" width="9.8984375" bestFit="1" customWidth="1"/>
    <col min="7" max="7" width="9.8984375" bestFit="1" customWidth="1"/>
    <col min="8" max="8" width="20.796875" bestFit="1" customWidth="1"/>
  </cols>
  <sheetData>
    <row r="1" spans="1:8" ht="17.399999999999999" customHeight="1" x14ac:dyDescent="0.25">
      <c r="A1" s="97" t="s">
        <v>122</v>
      </c>
      <c r="B1" s="97"/>
      <c r="C1" s="97"/>
      <c r="D1" s="97"/>
      <c r="E1" s="97"/>
      <c r="F1" s="97"/>
      <c r="G1" s="97"/>
      <c r="H1" s="97"/>
    </row>
    <row r="2" spans="1:8" s="14" customFormat="1" ht="27.6" x14ac:dyDescent="0.25">
      <c r="A2" s="61" t="s">
        <v>123</v>
      </c>
      <c r="B2" s="18">
        <v>593275.77278228954</v>
      </c>
      <c r="C2" s="14" t="str">
        <f ca="1">getformula(B2)</f>
        <v>&lt;--  593275.77278229</v>
      </c>
    </row>
    <row r="3" spans="1:8" s="14" customFormat="1" x14ac:dyDescent="0.25">
      <c r="A3" s="19" t="s">
        <v>50</v>
      </c>
      <c r="B3" s="7">
        <v>0.08</v>
      </c>
      <c r="C3" s="19" t="s">
        <v>124</v>
      </c>
    </row>
    <row r="4" spans="1:8" s="14" customFormat="1" x14ac:dyDescent="0.25">
      <c r="A4" s="19" t="s">
        <v>51</v>
      </c>
      <c r="B4" s="7">
        <v>0.05</v>
      </c>
      <c r="C4" s="19" t="s">
        <v>125</v>
      </c>
    </row>
    <row r="5" spans="1:8" s="14" customFormat="1" x14ac:dyDescent="0.25">
      <c r="A5" s="19" t="s">
        <v>52</v>
      </c>
      <c r="B5" s="7">
        <v>0.107</v>
      </c>
      <c r="C5" s="19"/>
    </row>
    <row r="6" spans="1:8" s="14" customFormat="1" x14ac:dyDescent="0.25">
      <c r="A6" s="19"/>
      <c r="B6" s="7"/>
    </row>
    <row r="7" spans="1:8" s="14" customFormat="1" x14ac:dyDescent="0.25">
      <c r="A7" s="20" t="s">
        <v>12</v>
      </c>
      <c r="B7" s="20">
        <v>2012</v>
      </c>
      <c r="C7" s="20">
        <v>2013</v>
      </c>
      <c r="D7" s="20">
        <v>2014</v>
      </c>
      <c r="E7" s="20">
        <v>2015</v>
      </c>
      <c r="F7" s="20">
        <v>2016</v>
      </c>
      <c r="G7" s="20">
        <v>2017</v>
      </c>
    </row>
    <row r="8" spans="1:8" s="14" customFormat="1" x14ac:dyDescent="0.25">
      <c r="A8" s="19" t="s">
        <v>13</v>
      </c>
      <c r="B8" s="18"/>
      <c r="C8" s="18">
        <f>B2*(1+B3)</f>
        <v>640737.83460487274</v>
      </c>
      <c r="D8" s="18">
        <f>C8*(1+$B$3)</f>
        <v>691996.8613732626</v>
      </c>
      <c r="E8" s="18">
        <f>D8*(1+$B$3)</f>
        <v>747356.61028312368</v>
      </c>
      <c r="F8" s="18">
        <f>E8*(1+$B$3)</f>
        <v>807145.13910577365</v>
      </c>
      <c r="G8" s="18">
        <f>F8*(1+$B$3)</f>
        <v>871716.75023423554</v>
      </c>
      <c r="H8" s="14" t="str">
        <f ca="1">getformula(G8)</f>
        <v>&lt;--  =F8*(1+$B$3)</v>
      </c>
    </row>
    <row r="9" spans="1:8" s="14" customFormat="1" x14ac:dyDescent="0.25">
      <c r="A9" s="19" t="s">
        <v>11</v>
      </c>
      <c r="B9" s="18"/>
      <c r="C9" s="18"/>
      <c r="D9" s="18"/>
      <c r="E9" s="18"/>
      <c r="F9" s="18"/>
      <c r="G9" s="18">
        <f>G8*(1+B4)/(B5-B4)</f>
        <v>16057940.135893816</v>
      </c>
      <c r="H9" s="14" t="str">
        <f ca="1">getformula(G9)</f>
        <v>&lt;--  =G8*(1+B4)/(B5-B4)</v>
      </c>
    </row>
    <row r="10" spans="1:8" s="14" customFormat="1" x14ac:dyDescent="0.25">
      <c r="A10" s="19" t="s">
        <v>49</v>
      </c>
      <c r="B10" s="18"/>
      <c r="C10" s="18">
        <f>C8+C9</f>
        <v>640737.83460487274</v>
      </c>
      <c r="D10" s="18">
        <f>D8+D9</f>
        <v>691996.8613732626</v>
      </c>
      <c r="E10" s="18">
        <f>E8+E9</f>
        <v>747356.61028312368</v>
      </c>
      <c r="F10" s="18">
        <f>F8+F9</f>
        <v>807145.13910577365</v>
      </c>
      <c r="G10" s="18">
        <f>G8+G9</f>
        <v>16929656.886128053</v>
      </c>
      <c r="H10" s="14" t="str">
        <f ca="1">getformula(G10)</f>
        <v>&lt;--  =G8+G9</v>
      </c>
    </row>
    <row r="11" spans="1:8" s="14" customFormat="1" x14ac:dyDescent="0.25">
      <c r="B11" s="18"/>
      <c r="C11" s="18"/>
      <c r="D11" s="18"/>
      <c r="E11" s="18"/>
      <c r="F11" s="18"/>
    </row>
    <row r="12" spans="1:8" s="14" customFormat="1" x14ac:dyDescent="0.25">
      <c r="A12" s="21" t="s">
        <v>10</v>
      </c>
      <c r="B12" s="17">
        <f>NPV(B5,C10:G10)*(1+B5)^0.5</f>
        <v>13063055.212536111</v>
      </c>
      <c r="C12" s="18" t="str">
        <f ca="1">getformula(B12)</f>
        <v>&lt;--  =NPV(B5,C10:G10)*(1+B5)^0.5</v>
      </c>
      <c r="D12" s="18"/>
      <c r="E12" s="18"/>
      <c r="F12" s="18"/>
    </row>
    <row r="13" spans="1:8" s="14" customFormat="1" ht="27.6" x14ac:dyDescent="0.25">
      <c r="A13" s="62" t="s">
        <v>126</v>
      </c>
      <c r="B13" s="17">
        <v>73697</v>
      </c>
      <c r="C13" s="22" t="s">
        <v>53</v>
      </c>
      <c r="D13" s="18"/>
      <c r="E13" s="18"/>
      <c r="F13" s="18"/>
    </row>
    <row r="14" spans="1:8" s="14" customFormat="1" x14ac:dyDescent="0.25">
      <c r="A14" s="21" t="s">
        <v>127</v>
      </c>
      <c r="B14" s="17">
        <v>1379106</v>
      </c>
      <c r="C14" s="22" t="s">
        <v>53</v>
      </c>
      <c r="D14" s="18"/>
      <c r="E14" s="18"/>
      <c r="F14" s="18"/>
    </row>
    <row r="15" spans="1:8" s="14" customFormat="1" x14ac:dyDescent="0.25">
      <c r="A15" s="21" t="s">
        <v>54</v>
      </c>
      <c r="B15" s="17">
        <f>B12+B13-B14</f>
        <v>11757646.212536111</v>
      </c>
      <c r="C15" s="14" t="str">
        <f ca="1">getformula(B15)</f>
        <v>&lt;--  =B12+B13-B14</v>
      </c>
      <c r="D15" s="19"/>
      <c r="E15" s="19"/>
      <c r="F15" s="19"/>
    </row>
    <row r="16" spans="1:8" s="14" customFormat="1" x14ac:dyDescent="0.25">
      <c r="A16" s="87" t="s">
        <v>128</v>
      </c>
      <c r="B16" s="88">
        <f>B15/1000000</f>
        <v>11.757646212536111</v>
      </c>
      <c r="C16" s="14" t="str">
        <f ca="1">getformula(B16)</f>
        <v>&lt;--  =B15/1000000</v>
      </c>
      <c r="D16" s="19"/>
      <c r="E16" s="19"/>
      <c r="F16" s="19"/>
    </row>
    <row r="17" spans="1:7" s="14" customFormat="1" x14ac:dyDescent="0.25"/>
    <row r="18" spans="1:7" s="14" customFormat="1" x14ac:dyDescent="0.25">
      <c r="A18" s="11" t="s">
        <v>129</v>
      </c>
    </row>
    <row r="19" spans="1:7" s="14" customFormat="1" x14ac:dyDescent="0.25">
      <c r="A19" s="98" t="e">
        <f ca="1">"data table header, "&amp;CHAR(10)&amp;gggetformula(B20)</f>
        <v>#NAME?</v>
      </c>
      <c r="C19" s="99" t="s">
        <v>130</v>
      </c>
      <c r="D19" s="99"/>
      <c r="E19" s="99"/>
      <c r="F19" s="99"/>
      <c r="G19" s="99"/>
    </row>
    <row r="20" spans="1:7" s="14" customFormat="1" x14ac:dyDescent="0.25">
      <c r="A20" s="98"/>
      <c r="B20" s="63">
        <f>IF(B5&gt;B4,B16,"nmf")</f>
        <v>11.757646212536111</v>
      </c>
      <c r="C20" s="64">
        <v>0</v>
      </c>
      <c r="D20" s="64">
        <v>0.03</v>
      </c>
      <c r="E20" s="64">
        <v>0.06</v>
      </c>
      <c r="F20" s="64">
        <v>0.09</v>
      </c>
      <c r="G20" s="64">
        <v>0.12</v>
      </c>
    </row>
    <row r="21" spans="1:7" s="14" customFormat="1" x14ac:dyDescent="0.25">
      <c r="B21" s="64">
        <v>0.06</v>
      </c>
      <c r="C21" s="65">
        <f t="dataTable" ref="C21:G27" dt2D="1" dtr="1" r1="B4" r2="B5"/>
        <v>13.103527042497896</v>
      </c>
      <c r="D21" s="65">
        <v>24.951760756158212</v>
      </c>
      <c r="E21" s="65" t="str">
        <v>nmf</v>
      </c>
      <c r="F21" s="65" t="str">
        <v>nmf</v>
      </c>
      <c r="G21" s="65" t="str">
        <v>nmf</v>
      </c>
    </row>
    <row r="22" spans="1:7" s="14" customFormat="1" x14ac:dyDescent="0.25">
      <c r="A22" s="66" t="s">
        <v>131</v>
      </c>
      <c r="B22" s="64">
        <v>0.08</v>
      </c>
      <c r="C22" s="65">
        <v>9.4842207042654536</v>
      </c>
      <c r="D22" s="65">
        <v>14.478277881668323</v>
      </c>
      <c r="E22" s="65">
        <v>34.454506591279781</v>
      </c>
      <c r="F22" s="65" t="str">
        <v>nmf</v>
      </c>
      <c r="G22" s="65" t="str">
        <v>nmf</v>
      </c>
    </row>
    <row r="23" spans="1:7" s="14" customFormat="1" x14ac:dyDescent="0.25">
      <c r="B23" s="64">
        <v>0.1</v>
      </c>
      <c r="C23" s="65">
        <v>7.3169753870629615</v>
      </c>
      <c r="D23" s="65">
        <v>9.9932101507221436</v>
      </c>
      <c r="E23" s="65">
        <v>16.683797059870102</v>
      </c>
      <c r="F23" s="65">
        <v>63.517905423905759</v>
      </c>
      <c r="G23" s="65" t="str">
        <v>nmf</v>
      </c>
    </row>
    <row r="24" spans="1:7" s="14" customFormat="1" x14ac:dyDescent="0.25">
      <c r="B24" s="64">
        <v>0.12</v>
      </c>
      <c r="C24" s="65">
        <v>5.8754245960578437</v>
      </c>
      <c r="D24" s="65">
        <v>7.504007273305751</v>
      </c>
      <c r="E24" s="65">
        <v>10.761172627801567</v>
      </c>
      <c r="F24" s="65">
        <v>20.532668691289008</v>
      </c>
      <c r="G24" s="65" t="str">
        <v>nmf</v>
      </c>
    </row>
    <row r="25" spans="1:7" s="14" customFormat="1" x14ac:dyDescent="0.25">
      <c r="B25" s="64">
        <v>0.14000000000000001</v>
      </c>
      <c r="C25" s="65">
        <v>4.8482987675736391</v>
      </c>
      <c r="D25" s="65">
        <v>5.9218158148131161</v>
      </c>
      <c r="E25" s="65">
        <v>7.8004706474822036</v>
      </c>
      <c r="F25" s="65">
        <v>11.933511279354194</v>
      </c>
      <c r="G25" s="65">
        <v>28.465673806842151</v>
      </c>
    </row>
    <row r="26" spans="1:7" s="14" customFormat="1" x14ac:dyDescent="0.25">
      <c r="B26" s="64">
        <v>0.16</v>
      </c>
      <c r="C26" s="65">
        <v>4.0799864818946832</v>
      </c>
      <c r="D26" s="65">
        <v>4.8278637769461392</v>
      </c>
      <c r="E26" s="65">
        <v>6.0244674490284691</v>
      </c>
      <c r="F26" s="65">
        <v>8.2467314114670796</v>
      </c>
      <c r="G26" s="65">
        <v>13.802391317563611</v>
      </c>
    </row>
    <row r="27" spans="1:7" s="14" customFormat="1" x14ac:dyDescent="0.25">
      <c r="B27" s="64">
        <v>0.18</v>
      </c>
      <c r="C27" s="65">
        <v>3.4840552542641023</v>
      </c>
      <c r="D27" s="65">
        <v>4.0267378031279977</v>
      </c>
      <c r="E27" s="65">
        <v>4.8407616264238413</v>
      </c>
      <c r="F27" s="65">
        <v>6.197467998583579</v>
      </c>
      <c r="G27" s="65">
        <v>8.9108807429030588</v>
      </c>
    </row>
    <row r="28" spans="1:7" s="14" customFormat="1" x14ac:dyDescent="0.25"/>
    <row r="29" spans="1:7" s="14" customFormat="1" x14ac:dyDescent="0.25"/>
    <row r="30" spans="1:7" s="14" customFormat="1" x14ac:dyDescent="0.25"/>
    <row r="31" spans="1:7" s="14" customFormat="1" x14ac:dyDescent="0.25"/>
    <row r="32" spans="1:7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="14" customFormat="1" x14ac:dyDescent="0.25"/>
    <row r="98" s="14" customFormat="1" x14ac:dyDescent="0.25"/>
    <row r="99" s="14" customFormat="1" x14ac:dyDescent="0.25"/>
    <row r="100" s="14" customFormat="1" x14ac:dyDescent="0.25"/>
    <row r="101" s="14" customFormat="1" x14ac:dyDescent="0.25"/>
    <row r="102" s="14" customFormat="1" x14ac:dyDescent="0.25"/>
    <row r="103" s="14" customFormat="1" x14ac:dyDescent="0.25"/>
    <row r="104" s="14" customFormat="1" x14ac:dyDescent="0.25"/>
    <row r="105" s="14" customFormat="1" x14ac:dyDescent="0.25"/>
    <row r="106" s="14" customFormat="1" x14ac:dyDescent="0.25"/>
    <row r="107" s="14" customFormat="1" x14ac:dyDescent="0.25"/>
    <row r="108" s="14" customFormat="1" x14ac:dyDescent="0.25"/>
    <row r="109" s="14" customFormat="1" x14ac:dyDescent="0.25"/>
    <row r="110" s="14" customFormat="1" x14ac:dyDescent="0.25"/>
    <row r="111" s="14" customFormat="1" x14ac:dyDescent="0.25"/>
    <row r="112" s="14" customFormat="1" x14ac:dyDescent="0.25"/>
    <row r="113" s="14" customFormat="1" x14ac:dyDescent="0.25"/>
    <row r="114" s="14" customFormat="1" x14ac:dyDescent="0.25"/>
    <row r="115" s="14" customFormat="1" x14ac:dyDescent="0.25"/>
    <row r="116" s="14" customFormat="1" x14ac:dyDescent="0.25"/>
    <row r="117" s="14" customFormat="1" x14ac:dyDescent="0.25"/>
    <row r="118" s="14" customFormat="1" x14ac:dyDescent="0.25"/>
    <row r="119" s="14" customFormat="1" x14ac:dyDescent="0.25"/>
  </sheetData>
  <mergeCells count="3">
    <mergeCell ref="A1:H1"/>
    <mergeCell ref="A19:A20"/>
    <mergeCell ref="C19:G19"/>
  </mergeCells>
  <printOptions headings="1" gridLines="1"/>
  <pageMargins left="0.7" right="0.7" top="0.75" bottom="0.75" header="0.3" footer="0.3"/>
  <pageSetup paperSize="9" orientation="portrait" verticalDpi="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I67"/>
  <sheetViews>
    <sheetView workbookViewId="0">
      <selection sqref="A1:G1"/>
    </sheetView>
  </sheetViews>
  <sheetFormatPr defaultRowHeight="13.2" x14ac:dyDescent="0.25"/>
  <cols>
    <col min="1" max="1" width="40.09765625" style="23" customWidth="1"/>
    <col min="2" max="2" width="8.69921875" style="23" bestFit="1" customWidth="1"/>
    <col min="3" max="7" width="8.3984375" style="23" bestFit="1" customWidth="1"/>
    <col min="8" max="8" width="23.19921875" style="23" bestFit="1" customWidth="1"/>
    <col min="9" max="9" width="8.3984375" style="23" customWidth="1"/>
    <col min="10" max="11" width="8.3984375" style="23" bestFit="1" customWidth="1"/>
    <col min="12" max="16384" width="8.796875" style="23"/>
  </cols>
  <sheetData>
    <row r="1" spans="1:7" ht="17.399999999999999" x14ac:dyDescent="0.3">
      <c r="A1" s="100" t="s">
        <v>135</v>
      </c>
      <c r="B1" s="100"/>
      <c r="C1" s="100"/>
      <c r="D1" s="100"/>
      <c r="E1" s="100"/>
      <c r="F1" s="100"/>
      <c r="G1" s="100"/>
    </row>
    <row r="2" spans="1:7" x14ac:dyDescent="0.25">
      <c r="A2" s="23" t="s">
        <v>95</v>
      </c>
      <c r="B2" s="26">
        <v>0.1</v>
      </c>
    </row>
    <row r="3" spans="1:7" x14ac:dyDescent="0.25">
      <c r="A3" s="23" t="s">
        <v>94</v>
      </c>
      <c r="B3" s="26">
        <v>0.15</v>
      </c>
    </row>
    <row r="4" spans="1:7" x14ac:dyDescent="0.25">
      <c r="A4" s="23" t="s">
        <v>93</v>
      </c>
      <c r="B4" s="26">
        <v>0.08</v>
      </c>
    </row>
    <row r="5" spans="1:7" x14ac:dyDescent="0.25">
      <c r="A5" s="23" t="s">
        <v>92</v>
      </c>
      <c r="B5" s="26">
        <v>0.77</v>
      </c>
    </row>
    <row r="6" spans="1:7" x14ac:dyDescent="0.25">
      <c r="A6" s="23" t="s">
        <v>91</v>
      </c>
      <c r="B6" s="26">
        <v>0.5</v>
      </c>
    </row>
    <row r="7" spans="1:7" x14ac:dyDescent="0.25">
      <c r="A7" s="23" t="s">
        <v>48</v>
      </c>
      <c r="B7" s="26">
        <v>0.1</v>
      </c>
    </row>
    <row r="8" spans="1:7" x14ac:dyDescent="0.25">
      <c r="A8" s="23" t="s">
        <v>90</v>
      </c>
      <c r="B8" s="39">
        <v>0.1</v>
      </c>
    </row>
    <row r="9" spans="1:7" x14ac:dyDescent="0.25">
      <c r="A9" s="23" t="s">
        <v>89</v>
      </c>
      <c r="B9" s="39">
        <v>0.08</v>
      </c>
    </row>
    <row r="10" spans="1:7" x14ac:dyDescent="0.25">
      <c r="A10" s="23" t="s">
        <v>20</v>
      </c>
      <c r="B10" s="26">
        <v>0.4</v>
      </c>
    </row>
    <row r="11" spans="1:7" x14ac:dyDescent="0.25">
      <c r="A11" s="23" t="s">
        <v>88</v>
      </c>
      <c r="B11" s="26">
        <v>0.4</v>
      </c>
    </row>
    <row r="13" spans="1:7" s="24" customFormat="1" x14ac:dyDescent="0.25">
      <c r="A13" s="24" t="s">
        <v>12</v>
      </c>
      <c r="B13" s="38">
        <v>0</v>
      </c>
      <c r="C13" s="38">
        <v>1</v>
      </c>
      <c r="D13" s="38">
        <v>2</v>
      </c>
      <c r="E13" s="38">
        <v>3</v>
      </c>
      <c r="F13" s="38">
        <v>4</v>
      </c>
      <c r="G13" s="38">
        <v>5</v>
      </c>
    </row>
    <row r="14" spans="1:7" x14ac:dyDescent="0.25">
      <c r="A14" s="24" t="s">
        <v>87</v>
      </c>
    </row>
    <row r="15" spans="1:7" ht="13.8" x14ac:dyDescent="0.25">
      <c r="A15" s="23" t="s">
        <v>86</v>
      </c>
      <c r="B15" s="36">
        <f>1000</f>
        <v>1000</v>
      </c>
      <c r="C15" s="36">
        <f>B15*(1+$B$2)</f>
        <v>1100</v>
      </c>
      <c r="D15" s="36">
        <f>C15*(1+$B$2)</f>
        <v>1210</v>
      </c>
      <c r="E15" s="36">
        <f>D15*(1+$B$2)</f>
        <v>1331</v>
      </c>
      <c r="F15" s="36">
        <f>E15*(1+$B$2)</f>
        <v>1464.1000000000001</v>
      </c>
      <c r="G15" s="36">
        <f>F15*(1+$B$2)</f>
        <v>1610.5100000000002</v>
      </c>
    </row>
    <row r="16" spans="1:7" ht="13.8" x14ac:dyDescent="0.25">
      <c r="A16" s="23" t="s">
        <v>85</v>
      </c>
      <c r="B16" s="36">
        <f t="shared" ref="B16:G16" si="0">-B15*$B$6</f>
        <v>-500</v>
      </c>
      <c r="C16" s="36">
        <f t="shared" si="0"/>
        <v>-550</v>
      </c>
      <c r="D16" s="36">
        <f t="shared" si="0"/>
        <v>-605</v>
      </c>
      <c r="E16" s="36">
        <f t="shared" si="0"/>
        <v>-665.5</v>
      </c>
      <c r="F16" s="36">
        <f t="shared" si="0"/>
        <v>-732.05000000000007</v>
      </c>
      <c r="G16" s="36">
        <f t="shared" si="0"/>
        <v>-805.25500000000011</v>
      </c>
    </row>
    <row r="17" spans="1:9" ht="13.8" x14ac:dyDescent="0.25">
      <c r="A17" s="23" t="s">
        <v>84</v>
      </c>
      <c r="B17" s="36">
        <f>-$B$8*B36</f>
        <v>-32</v>
      </c>
      <c r="C17" s="36">
        <f>-$B$8*(B36+C36)/2</f>
        <v>-32</v>
      </c>
      <c r="D17" s="36">
        <f>-$B$8*(C36+D36)/2</f>
        <v>-32</v>
      </c>
      <c r="E17" s="36">
        <f>-$B$8*(D36+E36)/2</f>
        <v>-32</v>
      </c>
      <c r="F17" s="36">
        <f>-$B$8*(E36+F36)/2</f>
        <v>-32</v>
      </c>
      <c r="G17" s="36">
        <f>-$B$8*(F36+G36)/2</f>
        <v>-32</v>
      </c>
    </row>
    <row r="18" spans="1:9" ht="13.8" x14ac:dyDescent="0.25">
      <c r="A18" s="23" t="s">
        <v>83</v>
      </c>
      <c r="B18" s="36">
        <f>$B$9*B27</f>
        <v>6.4</v>
      </c>
      <c r="C18" s="36">
        <f ca="1">$B$9*(B27+C27)/2</f>
        <v>8.9477956254272062</v>
      </c>
      <c r="D18" s="36">
        <f ca="1">$B$9*(C27+D27)/2</f>
        <v>14.276702863501569</v>
      </c>
      <c r="E18" s="36">
        <f ca="1">$B$9*(D27+E27)/2</f>
        <v>20.080913361163557</v>
      </c>
      <c r="F18" s="36">
        <f ca="1">$B$9*(E27+F27)/2</f>
        <v>26.376731259734132</v>
      </c>
      <c r="G18" s="36">
        <f ca="1">$B$9*(F27+G27)/2</f>
        <v>33.178068826054897</v>
      </c>
    </row>
    <row r="19" spans="1:9" ht="13.8" x14ac:dyDescent="0.25">
      <c r="A19" s="23" t="s">
        <v>82</v>
      </c>
      <c r="B19" s="36">
        <v>-100</v>
      </c>
      <c r="C19" s="36">
        <f ca="1">-$B$7*(C30+B30)/2</f>
        <v>-116.68421052631579</v>
      </c>
      <c r="D19" s="36">
        <f ca="1">-$B$7*(D30+C30)/2</f>
        <v>-137.47728531855955</v>
      </c>
      <c r="E19" s="36">
        <f ca="1">-$B$7*(E30+D30)/2</f>
        <v>-161.31015745735533</v>
      </c>
      <c r="F19" s="36">
        <f ca="1">-$B$7*(F30+E30)/2</f>
        <v>-188.58791087391907</v>
      </c>
      <c r="G19" s="36">
        <f ca="1">-$B$7*(G30+F30)/2</f>
        <v>-219.76678043959475</v>
      </c>
    </row>
    <row r="20" spans="1:9" ht="13.8" x14ac:dyDescent="0.25">
      <c r="A20" s="23" t="s">
        <v>81</v>
      </c>
      <c r="B20" s="36">
        <f t="shared" ref="B20:G20" si="1">SUM(B15:B19)</f>
        <v>374.4</v>
      </c>
      <c r="C20" s="36">
        <f t="shared" ca="1" si="1"/>
        <v>410.26358509911148</v>
      </c>
      <c r="D20" s="36">
        <f t="shared" ca="1" si="1"/>
        <v>449.799417544942</v>
      </c>
      <c r="E20" s="36">
        <f t="shared" ca="1" si="1"/>
        <v>492.27075590380821</v>
      </c>
      <c r="F20" s="36">
        <f t="shared" ca="1" si="1"/>
        <v>537.8388203858151</v>
      </c>
      <c r="G20" s="36">
        <f t="shared" ca="1" si="1"/>
        <v>586.66628838646022</v>
      </c>
    </row>
    <row r="21" spans="1:9" ht="13.8" x14ac:dyDescent="0.25">
      <c r="A21" s="23" t="s">
        <v>80</v>
      </c>
      <c r="B21" s="36">
        <f t="shared" ref="B21:G21" si="2">-B20*$B$10</f>
        <v>-149.76</v>
      </c>
      <c r="C21" s="36">
        <f t="shared" ca="1" si="2"/>
        <v>-164.10543403964459</v>
      </c>
      <c r="D21" s="36">
        <f t="shared" ca="1" si="2"/>
        <v>-179.91976701797682</v>
      </c>
      <c r="E21" s="36">
        <f t="shared" ca="1" si="2"/>
        <v>-196.90830236152328</v>
      </c>
      <c r="F21" s="36">
        <f t="shared" ca="1" si="2"/>
        <v>-215.13552815432604</v>
      </c>
      <c r="G21" s="36">
        <f t="shared" ca="1" si="2"/>
        <v>-234.66651535458411</v>
      </c>
    </row>
    <row r="22" spans="1:9" ht="13.8" x14ac:dyDescent="0.25">
      <c r="A22" s="23" t="s">
        <v>70</v>
      </c>
      <c r="B22" s="36">
        <f t="shared" ref="B22:G22" si="3">B21+B20</f>
        <v>224.64</v>
      </c>
      <c r="C22" s="36">
        <f t="shared" ca="1" si="3"/>
        <v>246.15815105946689</v>
      </c>
      <c r="D22" s="36">
        <f t="shared" ca="1" si="3"/>
        <v>269.87965052696518</v>
      </c>
      <c r="E22" s="36">
        <f t="shared" ca="1" si="3"/>
        <v>295.36245354228492</v>
      </c>
      <c r="F22" s="36">
        <f t="shared" ca="1" si="3"/>
        <v>322.70329223148906</v>
      </c>
      <c r="G22" s="36">
        <f t="shared" ca="1" si="3"/>
        <v>351.99977303187609</v>
      </c>
    </row>
    <row r="23" spans="1:9" ht="13.8" x14ac:dyDescent="0.25">
      <c r="A23" s="23" t="s">
        <v>79</v>
      </c>
      <c r="B23" s="36">
        <f>-B22*$B$11</f>
        <v>-89.855999999999995</v>
      </c>
      <c r="C23" s="36">
        <f ca="1">-$B$11*C22</f>
        <v>-98.463260423786764</v>
      </c>
      <c r="D23" s="36">
        <f ca="1">-$B$11*D22</f>
        <v>-107.95186021078608</v>
      </c>
      <c r="E23" s="36">
        <f ca="1">-$B$11*E22</f>
        <v>-118.14498141691398</v>
      </c>
      <c r="F23" s="36">
        <f ca="1">-$B$11*F22</f>
        <v>-129.08131689259562</v>
      </c>
      <c r="G23" s="36">
        <f ca="1">-$B$11*G22</f>
        <v>-140.79990921275044</v>
      </c>
    </row>
    <row r="24" spans="1:9" ht="13.8" x14ac:dyDescent="0.25">
      <c r="A24" s="23" t="s">
        <v>5</v>
      </c>
      <c r="B24" s="36">
        <f t="shared" ref="B24:G24" si="4">B23+B22</f>
        <v>134.78399999999999</v>
      </c>
      <c r="C24" s="36">
        <f t="shared" ca="1" si="4"/>
        <v>147.69489063568011</v>
      </c>
      <c r="D24" s="36">
        <f t="shared" ca="1" si="4"/>
        <v>161.92779031617908</v>
      </c>
      <c r="E24" s="36">
        <f t="shared" ca="1" si="4"/>
        <v>177.21747212537093</v>
      </c>
      <c r="F24" s="36">
        <f t="shared" ca="1" si="4"/>
        <v>193.62197533889344</v>
      </c>
      <c r="G24" s="36">
        <f t="shared" ca="1" si="4"/>
        <v>211.19986381912565</v>
      </c>
    </row>
    <row r="25" spans="1:9" ht="13.8" x14ac:dyDescent="0.25">
      <c r="B25" s="36"/>
      <c r="C25" s="36"/>
      <c r="D25" s="36"/>
      <c r="E25" s="36"/>
      <c r="F25" s="36"/>
      <c r="G25" s="36"/>
    </row>
    <row r="26" spans="1:9" ht="13.8" x14ac:dyDescent="0.25">
      <c r="A26" s="24" t="s">
        <v>78</v>
      </c>
      <c r="B26" s="36"/>
      <c r="C26" s="36"/>
      <c r="D26" s="36"/>
      <c r="E26" s="36"/>
      <c r="F26" s="36"/>
      <c r="G26" s="36"/>
    </row>
    <row r="27" spans="1:9" ht="13.8" x14ac:dyDescent="0.25">
      <c r="A27" s="31" t="s">
        <v>77</v>
      </c>
      <c r="B27" s="36">
        <v>80</v>
      </c>
      <c r="C27" s="36">
        <f ca="1">C39-C28-C32</f>
        <v>143.69489063568017</v>
      </c>
      <c r="D27" s="36">
        <f ca="1">D39-D28-D32</f>
        <v>213.22268095185905</v>
      </c>
      <c r="E27" s="36">
        <f ca="1">E39-E28-E32</f>
        <v>288.80015307722988</v>
      </c>
      <c r="F27" s="36">
        <f ca="1">F39-F28-F32</f>
        <v>370.61812841612345</v>
      </c>
      <c r="G27" s="36">
        <f ca="1">G39-G28-G32</f>
        <v>458.83359223524894</v>
      </c>
      <c r="I27" s="37"/>
    </row>
    <row r="28" spans="1:9" ht="13.8" x14ac:dyDescent="0.25">
      <c r="A28" s="23" t="s">
        <v>7</v>
      </c>
      <c r="B28" s="36">
        <f>$B$3*B15</f>
        <v>150</v>
      </c>
      <c r="C28" s="36">
        <f>C15*$B$3</f>
        <v>165</v>
      </c>
      <c r="D28" s="36">
        <f>D15*$B$3</f>
        <v>181.5</v>
      </c>
      <c r="E28" s="36">
        <f>E15*$B$3</f>
        <v>199.65</v>
      </c>
      <c r="F28" s="36">
        <f>F15*$B$3</f>
        <v>219.61500000000001</v>
      </c>
      <c r="G28" s="36">
        <f>G15*$B$3</f>
        <v>241.57650000000001</v>
      </c>
    </row>
    <row r="29" spans="1:9" ht="13.8" x14ac:dyDescent="0.25">
      <c r="A29" s="23" t="s">
        <v>26</v>
      </c>
      <c r="B29" s="36"/>
      <c r="C29" s="36"/>
      <c r="D29" s="36"/>
      <c r="E29" s="36"/>
      <c r="F29" s="36"/>
      <c r="G29" s="36"/>
    </row>
    <row r="30" spans="1:9" ht="13.8" x14ac:dyDescent="0.25">
      <c r="A30" s="23" t="s">
        <v>76</v>
      </c>
      <c r="B30" s="36">
        <f t="shared" ref="B30:G30" si="5">B32-B31</f>
        <v>1070</v>
      </c>
      <c r="C30" s="36">
        <f t="shared" ca="1" si="5"/>
        <v>1263.6842105263158</v>
      </c>
      <c r="D30" s="36">
        <f t="shared" ca="1" si="5"/>
        <v>1485.8614958448754</v>
      </c>
      <c r="E30" s="36">
        <f t="shared" ca="1" si="5"/>
        <v>1740.341653302231</v>
      </c>
      <c r="F30" s="36">
        <f t="shared" ca="1" si="5"/>
        <v>2031.4165641761501</v>
      </c>
      <c r="G30" s="36">
        <f t="shared" ca="1" si="5"/>
        <v>2363.9190446157445</v>
      </c>
    </row>
    <row r="31" spans="1:9" ht="13.8" x14ac:dyDescent="0.25">
      <c r="A31" s="23" t="s">
        <v>75</v>
      </c>
      <c r="B31" s="36">
        <v>-300</v>
      </c>
      <c r="C31" s="36">
        <f ca="1">B31+C19</f>
        <v>-416.68421052631578</v>
      </c>
      <c r="D31" s="36">
        <f ca="1">C31+D19</f>
        <v>-554.16149584487539</v>
      </c>
      <c r="E31" s="36">
        <f ca="1">D31+E19</f>
        <v>-715.47165330223072</v>
      </c>
      <c r="F31" s="36">
        <f ca="1">E31+F19</f>
        <v>-904.05956417614982</v>
      </c>
      <c r="G31" s="36">
        <f ca="1">F31+G19</f>
        <v>-1123.8263446157446</v>
      </c>
    </row>
    <row r="32" spans="1:9" ht="13.8" x14ac:dyDescent="0.25">
      <c r="A32" s="23" t="s">
        <v>74</v>
      </c>
      <c r="B32" s="36">
        <f t="shared" ref="B32:G32" si="6">B15*$B$5</f>
        <v>770</v>
      </c>
      <c r="C32" s="36">
        <f t="shared" si="6"/>
        <v>847</v>
      </c>
      <c r="D32" s="36">
        <f t="shared" si="6"/>
        <v>931.7</v>
      </c>
      <c r="E32" s="36">
        <f t="shared" si="6"/>
        <v>1024.8700000000001</v>
      </c>
      <c r="F32" s="36">
        <f t="shared" si="6"/>
        <v>1127.3570000000002</v>
      </c>
      <c r="G32" s="36">
        <f t="shared" si="6"/>
        <v>1240.0927000000001</v>
      </c>
    </row>
    <row r="33" spans="1:7" ht="13.8" x14ac:dyDescent="0.25">
      <c r="A33" s="24" t="s">
        <v>3</v>
      </c>
      <c r="B33" s="36">
        <f>B27+B28+B32</f>
        <v>1000</v>
      </c>
      <c r="C33" s="36">
        <f ca="1">C32+C28+C27</f>
        <v>1155.6948906356802</v>
      </c>
      <c r="D33" s="36">
        <f ca="1">D32+D28+D27</f>
        <v>1326.4226809518591</v>
      </c>
      <c r="E33" s="36">
        <f ca="1">E32+E28+E27</f>
        <v>1513.3201530772301</v>
      </c>
      <c r="F33" s="36">
        <f ca="1">F32+F28+F27</f>
        <v>1717.5901284161237</v>
      </c>
      <c r="G33" s="36">
        <f ca="1">G32+G28+G27</f>
        <v>1940.5027922352492</v>
      </c>
    </row>
    <row r="34" spans="1:7" ht="13.8" x14ac:dyDescent="0.25">
      <c r="B34" s="36"/>
      <c r="C34" s="36"/>
      <c r="D34" s="36"/>
      <c r="E34" s="36"/>
      <c r="F34" s="36"/>
      <c r="G34" s="36"/>
    </row>
    <row r="35" spans="1:7" ht="13.8" x14ac:dyDescent="0.25">
      <c r="A35" s="23" t="s">
        <v>8</v>
      </c>
      <c r="B35" s="36">
        <f t="shared" ref="B35:G35" si="7">B15*$B$4</f>
        <v>80</v>
      </c>
      <c r="C35" s="36">
        <f t="shared" si="7"/>
        <v>88</v>
      </c>
      <c r="D35" s="36">
        <f t="shared" si="7"/>
        <v>96.8</v>
      </c>
      <c r="E35" s="36">
        <f t="shared" si="7"/>
        <v>106.48</v>
      </c>
      <c r="F35" s="36">
        <f t="shared" si="7"/>
        <v>117.12800000000001</v>
      </c>
      <c r="G35" s="36">
        <f t="shared" si="7"/>
        <v>128.84080000000003</v>
      </c>
    </row>
    <row r="36" spans="1:7" ht="13.8" x14ac:dyDescent="0.25">
      <c r="A36" s="23" t="s">
        <v>73</v>
      </c>
      <c r="B36" s="36">
        <f>B33-B35-B37-B38</f>
        <v>320</v>
      </c>
      <c r="C36" s="36">
        <f t="shared" ref="C36:G37" si="8">B36</f>
        <v>320</v>
      </c>
      <c r="D36" s="36">
        <f t="shared" si="8"/>
        <v>320</v>
      </c>
      <c r="E36" s="36">
        <f t="shared" si="8"/>
        <v>320</v>
      </c>
      <c r="F36" s="36">
        <f t="shared" si="8"/>
        <v>320</v>
      </c>
      <c r="G36" s="36">
        <f t="shared" si="8"/>
        <v>320</v>
      </c>
    </row>
    <row r="37" spans="1:7" ht="13.8" x14ac:dyDescent="0.25">
      <c r="A37" s="23" t="s">
        <v>72</v>
      </c>
      <c r="B37" s="36">
        <v>450</v>
      </c>
      <c r="C37" s="36">
        <f t="shared" si="8"/>
        <v>450</v>
      </c>
      <c r="D37" s="36">
        <f t="shared" si="8"/>
        <v>450</v>
      </c>
      <c r="E37" s="36">
        <f t="shared" si="8"/>
        <v>450</v>
      </c>
      <c r="F37" s="36">
        <f t="shared" si="8"/>
        <v>450</v>
      </c>
      <c r="G37" s="36">
        <f t="shared" si="8"/>
        <v>450</v>
      </c>
    </row>
    <row r="38" spans="1:7" ht="13.8" x14ac:dyDescent="0.25">
      <c r="A38" s="23" t="s">
        <v>36</v>
      </c>
      <c r="B38" s="36">
        <v>150</v>
      </c>
      <c r="C38" s="36">
        <f ca="1">B38+C24</f>
        <v>297.69489063568011</v>
      </c>
      <c r="D38" s="36">
        <f ca="1">C38+D24</f>
        <v>459.62268095185919</v>
      </c>
      <c r="E38" s="36">
        <f ca="1">D38+E24</f>
        <v>636.84015307723007</v>
      </c>
      <c r="F38" s="36">
        <f ca="1">E38+F24</f>
        <v>830.46212841612351</v>
      </c>
      <c r="G38" s="36">
        <f ca="1">F38+G24</f>
        <v>1041.6619922352493</v>
      </c>
    </row>
    <row r="39" spans="1:7" ht="13.8" x14ac:dyDescent="0.25">
      <c r="A39" s="24" t="s">
        <v>2</v>
      </c>
      <c r="B39" s="36">
        <f t="shared" ref="B39:G39" si="9">SUM(B35:B38)</f>
        <v>1000</v>
      </c>
      <c r="C39" s="36">
        <f t="shared" ca="1" si="9"/>
        <v>1155.6948906356802</v>
      </c>
      <c r="D39" s="36">
        <f t="shared" ca="1" si="9"/>
        <v>1326.4226809518591</v>
      </c>
      <c r="E39" s="36">
        <f t="shared" ca="1" si="9"/>
        <v>1513.3201530772301</v>
      </c>
      <c r="F39" s="36">
        <f t="shared" ca="1" si="9"/>
        <v>1717.5901284161237</v>
      </c>
      <c r="G39" s="36">
        <f t="shared" ca="1" si="9"/>
        <v>1940.5027922352492</v>
      </c>
    </row>
    <row r="40" spans="1:7" s="31" customFormat="1" x14ac:dyDescent="0.25">
      <c r="B40" s="35"/>
      <c r="C40" s="35"/>
      <c r="D40" s="35"/>
      <c r="E40" s="35"/>
      <c r="F40" s="35"/>
      <c r="G40" s="35"/>
    </row>
    <row r="41" spans="1:7" s="24" customFormat="1" x14ac:dyDescent="0.25">
      <c r="A41" s="30" t="s">
        <v>12</v>
      </c>
      <c r="B41" s="29">
        <v>0</v>
      </c>
      <c r="C41" s="29">
        <v>1</v>
      </c>
      <c r="D41" s="29">
        <v>2</v>
      </c>
      <c r="E41" s="29">
        <v>3</v>
      </c>
      <c r="F41" s="29">
        <v>4</v>
      </c>
      <c r="G41" s="29">
        <v>5</v>
      </c>
    </row>
    <row r="42" spans="1:7" s="24" customFormat="1" x14ac:dyDescent="0.25">
      <c r="A42" s="30" t="s">
        <v>71</v>
      </c>
      <c r="B42" s="29"/>
      <c r="C42" s="29"/>
      <c r="D42" s="29"/>
      <c r="E42" s="29"/>
      <c r="F42" s="29"/>
      <c r="G42" s="29"/>
    </row>
    <row r="43" spans="1:7" x14ac:dyDescent="0.25">
      <c r="A43" s="28" t="s">
        <v>70</v>
      </c>
      <c r="B43" s="28"/>
      <c r="C43" s="28">
        <f ca="1">C22</f>
        <v>246.15815105946689</v>
      </c>
      <c r="D43" s="28">
        <f ca="1">D22</f>
        <v>269.87965052696518</v>
      </c>
      <c r="E43" s="28">
        <f ca="1">E22</f>
        <v>295.36245354228492</v>
      </c>
      <c r="F43" s="28">
        <f ca="1">F22</f>
        <v>322.70329223148906</v>
      </c>
      <c r="G43" s="28">
        <f ca="1">G22</f>
        <v>351.99977303187609</v>
      </c>
    </row>
    <row r="44" spans="1:7" x14ac:dyDescent="0.25">
      <c r="A44" s="28" t="s">
        <v>69</v>
      </c>
      <c r="B44" s="28"/>
      <c r="C44" s="28">
        <f ca="1">-C19</f>
        <v>116.68421052631579</v>
      </c>
      <c r="D44" s="28">
        <f ca="1">-D19</f>
        <v>137.47728531855955</v>
      </c>
      <c r="E44" s="28">
        <f ca="1">-E19</f>
        <v>161.31015745735533</v>
      </c>
      <c r="F44" s="28">
        <f ca="1">-F19</f>
        <v>188.58791087391907</v>
      </c>
      <c r="G44" s="28">
        <f ca="1">-G19</f>
        <v>219.76678043959475</v>
      </c>
    </row>
    <row r="45" spans="1:7" x14ac:dyDescent="0.25">
      <c r="A45" s="28" t="s">
        <v>68</v>
      </c>
      <c r="B45" s="28"/>
      <c r="C45" s="28">
        <f>-(C28-B28)</f>
        <v>-15</v>
      </c>
      <c r="D45" s="28">
        <f>-(D28-C28)</f>
        <v>-16.5</v>
      </c>
      <c r="E45" s="28">
        <f>-(E28-D28)</f>
        <v>-18.150000000000006</v>
      </c>
      <c r="F45" s="28">
        <f>-(F28-E28)</f>
        <v>-19.965000000000003</v>
      </c>
      <c r="G45" s="28">
        <f>-(G28-F28)</f>
        <v>-21.961500000000001</v>
      </c>
    </row>
    <row r="46" spans="1:7" x14ac:dyDescent="0.25">
      <c r="A46" s="28" t="s">
        <v>67</v>
      </c>
      <c r="B46" s="28"/>
      <c r="C46" s="28">
        <f>C35-B35</f>
        <v>8</v>
      </c>
      <c r="D46" s="28">
        <f>D35-C35</f>
        <v>8.7999999999999972</v>
      </c>
      <c r="E46" s="28">
        <f>E35-D35</f>
        <v>9.6800000000000068</v>
      </c>
      <c r="F46" s="28">
        <f>F35-E35</f>
        <v>10.64800000000001</v>
      </c>
      <c r="G46" s="28">
        <f>G35-F35</f>
        <v>11.712800000000016</v>
      </c>
    </row>
    <row r="47" spans="1:7" x14ac:dyDescent="0.25">
      <c r="A47" s="28" t="s">
        <v>66</v>
      </c>
      <c r="B47" s="28"/>
      <c r="C47" s="28">
        <f ca="1">-(C30-B30)</f>
        <v>-193.68421052631584</v>
      </c>
      <c r="D47" s="28">
        <f ca="1">-(D30-C30)</f>
        <v>-222.1772853185596</v>
      </c>
      <c r="E47" s="28">
        <f ca="1">-(E30-D30)</f>
        <v>-254.48015745735552</v>
      </c>
      <c r="F47" s="28">
        <f ca="1">-(F30-E30)</f>
        <v>-291.07491087391918</v>
      </c>
      <c r="G47" s="28">
        <f ca="1">-(G30-F30)</f>
        <v>-332.50248043959436</v>
      </c>
    </row>
    <row r="48" spans="1:7" x14ac:dyDescent="0.25">
      <c r="A48" s="28" t="s">
        <v>65</v>
      </c>
      <c r="B48" s="28"/>
      <c r="C48" s="28">
        <f t="shared" ref="C48:G49" si="10">-(1-$B$10)*C17</f>
        <v>19.2</v>
      </c>
      <c r="D48" s="28">
        <f t="shared" si="10"/>
        <v>19.2</v>
      </c>
      <c r="E48" s="28">
        <f t="shared" si="10"/>
        <v>19.2</v>
      </c>
      <c r="F48" s="28">
        <f t="shared" si="10"/>
        <v>19.2</v>
      </c>
      <c r="G48" s="28">
        <f t="shared" si="10"/>
        <v>19.2</v>
      </c>
    </row>
    <row r="49" spans="1:8" x14ac:dyDescent="0.25">
      <c r="A49" s="28" t="s">
        <v>64</v>
      </c>
      <c r="B49" s="28"/>
      <c r="C49" s="28">
        <f t="shared" ca="1" si="10"/>
        <v>-5.3686773752563237</v>
      </c>
      <c r="D49" s="28">
        <f t="shared" ca="1" si="10"/>
        <v>-8.5660217181009415</v>
      </c>
      <c r="E49" s="28">
        <f t="shared" ca="1" si="10"/>
        <v>-12.048548016698133</v>
      </c>
      <c r="F49" s="28">
        <f t="shared" ca="1" si="10"/>
        <v>-15.826038755840479</v>
      </c>
      <c r="G49" s="28">
        <f t="shared" ca="1" si="10"/>
        <v>-19.906841295632937</v>
      </c>
    </row>
    <row r="50" spans="1:8" x14ac:dyDescent="0.25">
      <c r="A50" s="30" t="s">
        <v>63</v>
      </c>
      <c r="B50" s="28"/>
      <c r="C50" s="28">
        <f ca="1">SUM(C43:C49)</f>
        <v>175.98947368421051</v>
      </c>
      <c r="D50" s="28">
        <f ca="1">SUM(D43:D49)</f>
        <v>188.11362880886418</v>
      </c>
      <c r="E50" s="28">
        <f ca="1">SUM(E43:E49)</f>
        <v>200.87390552558662</v>
      </c>
      <c r="F50" s="28">
        <f ca="1">SUM(F43:F49)</f>
        <v>214.27325347564849</v>
      </c>
      <c r="G50" s="28">
        <f ca="1">SUM(G43:G49)</f>
        <v>228.30853173624354</v>
      </c>
    </row>
    <row r="53" spans="1:8" ht="17.399999999999999" x14ac:dyDescent="0.3">
      <c r="A53" s="33" t="s">
        <v>62</v>
      </c>
    </row>
    <row r="54" spans="1:8" s="31" customFormat="1" x14ac:dyDescent="0.25">
      <c r="A54" s="31" t="s">
        <v>61</v>
      </c>
      <c r="B54" s="32">
        <v>0.2</v>
      </c>
    </row>
    <row r="55" spans="1:8" s="31" customFormat="1" x14ac:dyDescent="0.25">
      <c r="A55" s="31" t="s">
        <v>60</v>
      </c>
      <c r="B55" s="32">
        <v>0.05</v>
      </c>
    </row>
    <row r="56" spans="1:8" x14ac:dyDescent="0.25">
      <c r="A56" s="31"/>
    </row>
    <row r="57" spans="1:8" s="24" customFormat="1" x14ac:dyDescent="0.25">
      <c r="A57" s="30" t="s">
        <v>12</v>
      </c>
      <c r="B57" s="29">
        <v>0</v>
      </c>
      <c r="C57" s="29">
        <v>1</v>
      </c>
      <c r="D57" s="29">
        <v>2</v>
      </c>
      <c r="E57" s="29">
        <v>3</v>
      </c>
      <c r="F57" s="29">
        <v>4</v>
      </c>
      <c r="G57" s="29">
        <v>5</v>
      </c>
    </row>
    <row r="58" spans="1:8" x14ac:dyDescent="0.25">
      <c r="A58" s="23" t="s">
        <v>13</v>
      </c>
      <c r="C58" s="28">
        <f ca="1">C50</f>
        <v>175.98947368421051</v>
      </c>
      <c r="D58" s="28">
        <f ca="1">D50</f>
        <v>188.11362880886418</v>
      </c>
      <c r="E58" s="28">
        <f ca="1">E50</f>
        <v>200.87390552558662</v>
      </c>
      <c r="F58" s="28">
        <f ca="1">F50</f>
        <v>214.27325347564849</v>
      </c>
      <c r="G58" s="25">
        <f ca="1">G50</f>
        <v>228.30853173624354</v>
      </c>
    </row>
    <row r="59" spans="1:8" x14ac:dyDescent="0.25">
      <c r="A59" s="23" t="s">
        <v>11</v>
      </c>
      <c r="G59" s="34">
        <f ca="1">G58*(1+B55)/(B54-B55)</f>
        <v>1598.1597221537045</v>
      </c>
      <c r="H59" s="23" t="str">
        <f ca="1">getformula(G59)</f>
        <v>&lt;--  =G58*(1+B55)/(B54-B55)</v>
      </c>
    </row>
    <row r="60" spans="1:8" x14ac:dyDescent="0.25">
      <c r="A60" s="23" t="s">
        <v>49</v>
      </c>
      <c r="C60" s="28">
        <f ca="1">C59+C58</f>
        <v>175.98947368421051</v>
      </c>
      <c r="D60" s="28">
        <f ca="1">D59+D58</f>
        <v>188.11362880886418</v>
      </c>
      <c r="E60" s="28">
        <f ca="1">E59+E58</f>
        <v>200.87390552558662</v>
      </c>
      <c r="F60" s="28">
        <f ca="1">F59+F58</f>
        <v>214.27325347564849</v>
      </c>
      <c r="G60" s="25">
        <f ca="1">G59+G58</f>
        <v>1826.4682538899481</v>
      </c>
    </row>
    <row r="62" spans="1:8" x14ac:dyDescent="0.25">
      <c r="A62" s="23" t="str">
        <f>"Enterprise value, present value of row "&amp;ROW(A60)</f>
        <v>Enterprise value, present value of row 60</v>
      </c>
      <c r="B62" s="27">
        <f ca="1">NPV(B54,C60:G60)*(1+B54)^0.5</f>
        <v>1348.371777452516</v>
      </c>
      <c r="C62" s="23" t="str">
        <f t="shared" ref="C62:C67" ca="1" si="11">getformula(B62)</f>
        <v>&lt;--  =NPV(B54,C60:G60)*(1+B54)^0.5</v>
      </c>
    </row>
    <row r="63" spans="1:8" x14ac:dyDescent="0.25">
      <c r="A63" s="23" t="s">
        <v>59</v>
      </c>
      <c r="B63" s="27">
        <f>B27</f>
        <v>80</v>
      </c>
      <c r="C63" s="23" t="str">
        <f t="shared" ca="1" si="11"/>
        <v>&lt;--  =B27</v>
      </c>
    </row>
    <row r="64" spans="1:8" x14ac:dyDescent="0.25">
      <c r="A64" s="23" t="s">
        <v>58</v>
      </c>
      <c r="B64" s="27">
        <f ca="1">B63+B62</f>
        <v>1428.371777452516</v>
      </c>
      <c r="C64" s="23" t="str">
        <f t="shared" ca="1" si="11"/>
        <v>&lt;--  =B63+B62</v>
      </c>
    </row>
    <row r="65" spans="1:3" x14ac:dyDescent="0.25">
      <c r="A65" s="23" t="s">
        <v>57</v>
      </c>
      <c r="B65" s="27">
        <f>-B36</f>
        <v>-320</v>
      </c>
      <c r="C65" s="23" t="str">
        <f t="shared" ca="1" si="11"/>
        <v>&lt;--  =-B36</v>
      </c>
    </row>
    <row r="66" spans="1:3" x14ac:dyDescent="0.25">
      <c r="A66" s="23" t="s">
        <v>54</v>
      </c>
      <c r="B66" s="27">
        <f ca="1">B64+B65</f>
        <v>1108.371777452516</v>
      </c>
      <c r="C66" s="23" t="str">
        <f t="shared" ca="1" si="11"/>
        <v>&lt;--  =B64+B65</v>
      </c>
    </row>
    <row r="67" spans="1:3" x14ac:dyDescent="0.25">
      <c r="A67" s="23" t="s">
        <v>134</v>
      </c>
      <c r="B67" s="73">
        <f ca="1">B66/100</f>
        <v>11.08371777452516</v>
      </c>
      <c r="C67" s="23" t="str">
        <f t="shared" ca="1" si="11"/>
        <v>&lt;--  =B66/100</v>
      </c>
    </row>
  </sheetData>
  <mergeCells count="1">
    <mergeCell ref="A1:G1"/>
  </mergeCells>
  <printOptions headings="1" gridLines="1"/>
  <pageMargins left="0.75" right="0.75" top="1" bottom="1" header="0.5" footer="0.5"/>
  <pageSetup scale="2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Page 55</vt:lpstr>
      <vt:lpstr>Page 56</vt:lpstr>
      <vt:lpstr>Page 56, bottom</vt:lpstr>
      <vt:lpstr>Page 57</vt:lpstr>
      <vt:lpstr>Page 58, top</vt:lpstr>
      <vt:lpstr>Caterpillar EV market</vt:lpstr>
      <vt:lpstr>Page 58, bottom</vt:lpstr>
      <vt:lpstr>Page 59</vt:lpstr>
      <vt:lpstr>Page 65</vt:lpstr>
      <vt:lpstr>Page 66</vt:lpstr>
      <vt:lpstr>Page 67</vt:lpstr>
      <vt:lpstr>Pages 68-69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Simon Benninga</cp:lastModifiedBy>
  <dcterms:created xsi:type="dcterms:W3CDTF">2012-04-27T08:00:44Z</dcterms:created>
  <dcterms:modified xsi:type="dcterms:W3CDTF">2014-01-08T16:48:46Z</dcterms:modified>
</cp:coreProperties>
</file>